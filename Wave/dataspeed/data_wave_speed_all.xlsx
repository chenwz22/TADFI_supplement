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Github/Wave/dataspeed/"/>
    </mc:Choice>
  </mc:AlternateContent>
  <xr:revisionPtr revIDLastSave="0" documentId="13_ncr:1_{5CE1F801-C5D5-8947-8D57-5296B2FB3495}" xr6:coauthVersionLast="47" xr6:coauthVersionMax="47" xr10:uidLastSave="{00000000-0000-0000-0000-000000000000}"/>
  <bookViews>
    <workbookView xWindow="1120" yWindow="3140" windowWidth="29400" windowHeight="16960" xr2:uid="{23D25971-E310-8D44-806E-FD6E9366DD94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56" i="1" l="1"/>
  <c r="U156" i="1"/>
  <c r="S156" i="1"/>
  <c r="S67" i="1"/>
  <c r="T67" i="1"/>
  <c r="U67" i="1"/>
  <c r="T130" i="1"/>
  <c r="U130" i="1"/>
  <c r="T45" i="1"/>
  <c r="U45" i="1"/>
  <c r="T23" i="1"/>
  <c r="U23" i="1"/>
  <c r="T2" i="1"/>
  <c r="U2" i="1"/>
  <c r="S130" i="1"/>
  <c r="S45" i="1"/>
  <c r="S23" i="1"/>
  <c r="S2" i="1"/>
</calcChain>
</file>

<file path=xl/sharedStrings.xml><?xml version="1.0" encoding="utf-8"?>
<sst xmlns="http://schemas.openxmlformats.org/spreadsheetml/2006/main" count="181" uniqueCount="21">
  <si>
    <t>Homing_dominant</t>
    <phoneticPr fontId="1" type="noConversion"/>
  </si>
  <si>
    <t>Number</t>
  </si>
  <si>
    <t>GERMLINE</t>
  </si>
  <si>
    <t>EMBRYO</t>
  </si>
  <si>
    <t>Before_Start_Generation</t>
  </si>
  <si>
    <t>Before_Start</t>
  </si>
  <si>
    <t>Start_Generation</t>
  </si>
  <si>
    <t>Start</t>
  </si>
  <si>
    <t>Actual_Start_Generation</t>
  </si>
  <si>
    <t>Before_Stop_Generation</t>
  </si>
  <si>
    <t>Before_Stop</t>
  </si>
  <si>
    <t>Stop_Generation</t>
  </si>
  <si>
    <t>Stop</t>
  </si>
  <si>
    <t>Actual_Stop_Generation</t>
  </si>
  <si>
    <t>Timed_Gens_Tester</t>
  </si>
  <si>
    <t>Actual_Timed_Gens</t>
  </si>
  <si>
    <t>Homing_dominant_DDsterile</t>
    <phoneticPr fontId="1" type="noConversion"/>
  </si>
  <si>
    <t>Homing_recessive</t>
    <phoneticPr fontId="1" type="noConversion"/>
  </si>
  <si>
    <t>TADEsuppression</t>
    <phoneticPr fontId="1" type="noConversion"/>
  </si>
  <si>
    <t>TADFI-modification (dr05)</t>
    <phoneticPr fontId="1" type="noConversion"/>
  </si>
  <si>
    <t>TADFI_suppression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</si>
</sst>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6F180-F420-CD42-A87C-C630BD20750B}">
  <dimension ref="A1:U181"/>
  <sheetViews>
    <sheetView tabSelected="1" zoomScale="83" workbookViewId="0">
      <selection activeCell="B151" sqref="B151"/>
    </sheetView>
  </sheetViews>
  <sheetFormatPr baseColWidth="10" defaultRowHeight="16"/>
  <cols>
    <col min="2" max="2" width="17.83203125" customWidth="1"/>
  </cols>
  <sheetData>
    <row r="1" spans="1:21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21">
      <c r="A2" t="s">
        <v>0</v>
      </c>
      <c r="C2" s="1">
        <v>1</v>
      </c>
      <c r="D2" s="2">
        <v>0.1</v>
      </c>
      <c r="E2" s="2">
        <v>0.1</v>
      </c>
      <c r="F2" s="2">
        <v>9</v>
      </c>
      <c r="G2" s="2">
        <v>0.47358699999999998</v>
      </c>
      <c r="H2" s="2">
        <v>10</v>
      </c>
      <c r="I2" s="2">
        <v>0.58662700000000001</v>
      </c>
      <c r="J2" s="2">
        <v>9.2336606510969599</v>
      </c>
      <c r="K2" s="2">
        <v>20</v>
      </c>
      <c r="L2" s="2">
        <v>0.39516499999999999</v>
      </c>
      <c r="M2" s="2">
        <v>21</v>
      </c>
      <c r="N2" s="2">
        <v>0.51186900000000002</v>
      </c>
      <c r="O2" s="2">
        <v>20.8982982588429</v>
      </c>
      <c r="P2" s="2">
        <v>11</v>
      </c>
      <c r="Q2" s="2">
        <v>11.664637607745901</v>
      </c>
      <c r="S2">
        <f>AVERAGE(Q2:Q21)</f>
        <v>12.261504473890884</v>
      </c>
      <c r="T2">
        <f>STDEV(Q2:Q21)</f>
        <v>0.33689952903712395</v>
      </c>
      <c r="U2">
        <f>T2/SQRT(COUNT(Q2:Q21))</f>
        <v>7.533302485146734E-2</v>
      </c>
    </row>
    <row r="3" spans="1:21">
      <c r="A3" t="s">
        <v>0</v>
      </c>
      <c r="C3" s="1">
        <v>1</v>
      </c>
      <c r="D3" s="2">
        <v>0.1</v>
      </c>
      <c r="E3" s="2">
        <v>0.1</v>
      </c>
      <c r="F3" s="2">
        <v>8</v>
      </c>
      <c r="G3" s="2">
        <v>0.41160799999999997</v>
      </c>
      <c r="H3" s="2">
        <v>9</v>
      </c>
      <c r="I3" s="2">
        <v>0.50530299999999995</v>
      </c>
      <c r="J3" s="2">
        <v>8.9434014621911508</v>
      </c>
      <c r="K3" s="2">
        <v>21</v>
      </c>
      <c r="L3" s="2">
        <v>0.48614200000000002</v>
      </c>
      <c r="M3" s="2">
        <v>22</v>
      </c>
      <c r="N3" s="2">
        <v>0.58385799999999999</v>
      </c>
      <c r="O3" s="2">
        <v>21.141819149371699</v>
      </c>
      <c r="P3" s="2">
        <v>13</v>
      </c>
      <c r="Q3" s="2">
        <v>12.1984176871805</v>
      </c>
    </row>
    <row r="4" spans="1:21">
      <c r="A4" t="s">
        <v>0</v>
      </c>
      <c r="C4" s="1">
        <v>1</v>
      </c>
      <c r="D4" s="2">
        <v>0.1</v>
      </c>
      <c r="E4" s="2">
        <v>0.1</v>
      </c>
      <c r="F4" s="2">
        <v>8</v>
      </c>
      <c r="G4" s="2">
        <v>0.41462300000000002</v>
      </c>
      <c r="H4" s="2">
        <v>9</v>
      </c>
      <c r="I4" s="2">
        <v>0.513957</v>
      </c>
      <c r="J4" s="2">
        <v>8.8594942315823406</v>
      </c>
      <c r="K4" s="2">
        <v>21</v>
      </c>
      <c r="L4" s="2">
        <v>0.49591200000000002</v>
      </c>
      <c r="M4" s="2">
        <v>22</v>
      </c>
      <c r="N4" s="2">
        <v>0.59321100000000004</v>
      </c>
      <c r="O4" s="2">
        <v>21.042014820296199</v>
      </c>
      <c r="P4" s="2">
        <v>13</v>
      </c>
      <c r="Q4" s="2">
        <v>12.182520588713899</v>
      </c>
    </row>
    <row r="5" spans="1:21">
      <c r="A5" t="s">
        <v>0</v>
      </c>
      <c r="C5" s="1">
        <v>1</v>
      </c>
      <c r="D5" s="2">
        <v>0.1</v>
      </c>
      <c r="E5" s="2">
        <v>0.1</v>
      </c>
      <c r="F5" s="2">
        <v>8</v>
      </c>
      <c r="G5" s="2">
        <v>0.39643200000000001</v>
      </c>
      <c r="H5" s="2">
        <v>9</v>
      </c>
      <c r="I5" s="2">
        <v>0.50339800000000001</v>
      </c>
      <c r="J5" s="2">
        <v>8.9682328964343796</v>
      </c>
      <c r="K5" s="2">
        <v>21</v>
      </c>
      <c r="L5" s="2">
        <v>0.45399099999999998</v>
      </c>
      <c r="M5" s="2">
        <v>22</v>
      </c>
      <c r="N5" s="2">
        <v>0.54328200000000004</v>
      </c>
      <c r="O5" s="2">
        <v>21.515270295998501</v>
      </c>
      <c r="P5" s="2">
        <v>13</v>
      </c>
      <c r="Q5" s="2">
        <v>12.5470373995641</v>
      </c>
    </row>
    <row r="6" spans="1:21">
      <c r="A6" t="s">
        <v>0</v>
      </c>
      <c r="C6" s="1">
        <v>1</v>
      </c>
      <c r="D6" s="2">
        <v>0.1</v>
      </c>
      <c r="E6" s="2">
        <v>0.1</v>
      </c>
      <c r="F6" s="2">
        <v>9</v>
      </c>
      <c r="G6" s="2">
        <v>0.48869899999999999</v>
      </c>
      <c r="H6" s="2">
        <v>10</v>
      </c>
      <c r="I6" s="2">
        <v>0.58275100000000002</v>
      </c>
      <c r="J6" s="2">
        <v>9.1201569344617894</v>
      </c>
      <c r="K6" s="2">
        <v>21</v>
      </c>
      <c r="L6" s="2">
        <v>0.49695400000000001</v>
      </c>
      <c r="M6" s="2">
        <v>22</v>
      </c>
      <c r="N6" s="2">
        <v>0.60260599999999998</v>
      </c>
      <c r="O6" s="2">
        <v>21.0288305001325</v>
      </c>
      <c r="P6" s="2">
        <v>12</v>
      </c>
      <c r="Q6" s="2">
        <v>11.9086735656707</v>
      </c>
    </row>
    <row r="7" spans="1:21">
      <c r="A7" t="s">
        <v>0</v>
      </c>
      <c r="C7" s="1">
        <v>1</v>
      </c>
      <c r="D7" s="2">
        <v>0.1</v>
      </c>
      <c r="E7" s="2">
        <v>0.1</v>
      </c>
      <c r="F7" s="2">
        <v>9</v>
      </c>
      <c r="G7" s="2">
        <v>0.49669799999999997</v>
      </c>
      <c r="H7" s="2">
        <v>10</v>
      </c>
      <c r="I7" s="2">
        <v>0.59875800000000001</v>
      </c>
      <c r="J7" s="2">
        <v>9.0323535175387004</v>
      </c>
      <c r="K7" s="2">
        <v>20</v>
      </c>
      <c r="L7" s="2">
        <v>0.38828699999999999</v>
      </c>
      <c r="M7" s="2">
        <v>21</v>
      </c>
      <c r="N7" s="2">
        <v>0.51636899999999997</v>
      </c>
      <c r="O7" s="2">
        <v>20.872199059977198</v>
      </c>
      <c r="P7" s="2">
        <v>11</v>
      </c>
      <c r="Q7" s="2">
        <v>11.8398455424385</v>
      </c>
    </row>
    <row r="8" spans="1:21">
      <c r="A8" t="s">
        <v>0</v>
      </c>
      <c r="C8" s="1">
        <v>1</v>
      </c>
      <c r="D8" s="2">
        <v>0.1</v>
      </c>
      <c r="E8" s="2">
        <v>0.1</v>
      </c>
      <c r="F8" s="2">
        <v>9</v>
      </c>
      <c r="G8" s="2">
        <v>0.46201399999999998</v>
      </c>
      <c r="H8" s="2">
        <v>10</v>
      </c>
      <c r="I8" s="2">
        <v>0.56393800000000005</v>
      </c>
      <c r="J8" s="2">
        <v>9.3726894548879596</v>
      </c>
      <c r="K8" s="2">
        <v>21</v>
      </c>
      <c r="L8" s="2">
        <v>0.39357500000000001</v>
      </c>
      <c r="M8" s="2">
        <v>22</v>
      </c>
      <c r="N8" s="2">
        <v>0.508216</v>
      </c>
      <c r="O8" s="2">
        <v>21.9283327954222</v>
      </c>
      <c r="P8" s="2">
        <v>12</v>
      </c>
      <c r="Q8" s="2">
        <v>12.555643340534299</v>
      </c>
    </row>
    <row r="9" spans="1:21">
      <c r="A9" t="s">
        <v>0</v>
      </c>
      <c r="C9" s="1">
        <v>1</v>
      </c>
      <c r="D9" s="2">
        <v>0.1</v>
      </c>
      <c r="E9" s="2">
        <v>0.1</v>
      </c>
      <c r="F9" s="2">
        <v>8</v>
      </c>
      <c r="G9" s="2">
        <v>0.41473500000000002</v>
      </c>
      <c r="H9" s="2">
        <v>9</v>
      </c>
      <c r="I9" s="2">
        <v>0.50809199999999999</v>
      </c>
      <c r="J9" s="2">
        <v>8.9133219790695897</v>
      </c>
      <c r="K9" s="2">
        <v>21</v>
      </c>
      <c r="L9" s="2">
        <v>0.47486899999999999</v>
      </c>
      <c r="M9" s="2">
        <v>22</v>
      </c>
      <c r="N9" s="2">
        <v>0.58350999999999997</v>
      </c>
      <c r="O9" s="2">
        <v>21.231321508454499</v>
      </c>
      <c r="P9" s="2">
        <v>13</v>
      </c>
      <c r="Q9" s="2">
        <v>12.317999529384901</v>
      </c>
    </row>
    <row r="10" spans="1:21">
      <c r="A10" t="s">
        <v>0</v>
      </c>
      <c r="C10" s="1">
        <v>1</v>
      </c>
      <c r="D10" s="2">
        <v>0.1</v>
      </c>
      <c r="E10" s="2">
        <v>0.1</v>
      </c>
      <c r="F10" s="2">
        <v>9</v>
      </c>
      <c r="G10" s="2">
        <v>0.489425</v>
      </c>
      <c r="H10" s="2">
        <v>10</v>
      </c>
      <c r="I10" s="2">
        <v>0.58817699999999995</v>
      </c>
      <c r="J10" s="2">
        <v>9.1070864387556707</v>
      </c>
      <c r="K10" s="2">
        <v>21</v>
      </c>
      <c r="L10" s="2">
        <v>0.47930400000000001</v>
      </c>
      <c r="M10" s="2">
        <v>22</v>
      </c>
      <c r="N10" s="2">
        <v>0.56847400000000003</v>
      </c>
      <c r="O10" s="2">
        <v>21.232095996411399</v>
      </c>
      <c r="P10" s="2">
        <v>12</v>
      </c>
      <c r="Q10" s="2">
        <v>12.1250095576557</v>
      </c>
    </row>
    <row r="11" spans="1:21">
      <c r="A11" t="s">
        <v>0</v>
      </c>
      <c r="C11" s="1">
        <v>1</v>
      </c>
      <c r="D11" s="2">
        <v>0.1</v>
      </c>
      <c r="E11" s="2">
        <v>0.1</v>
      </c>
      <c r="F11" s="2">
        <v>8</v>
      </c>
      <c r="G11" s="2">
        <v>0.401783</v>
      </c>
      <c r="H11" s="2">
        <v>9</v>
      </c>
      <c r="I11" s="2">
        <v>0.50836400000000004</v>
      </c>
      <c r="J11" s="2">
        <v>8.9215244743434603</v>
      </c>
      <c r="K11" s="2">
        <v>21</v>
      </c>
      <c r="L11" s="2">
        <v>0.44706099999999999</v>
      </c>
      <c r="M11" s="2">
        <v>22</v>
      </c>
      <c r="N11" s="2">
        <v>0.55612099999999998</v>
      </c>
      <c r="O11" s="2">
        <v>21.4854116999817</v>
      </c>
      <c r="P11" s="2">
        <v>13</v>
      </c>
      <c r="Q11" s="2">
        <v>12.563887225638201</v>
      </c>
    </row>
    <row r="12" spans="1:21">
      <c r="A12" t="s">
        <v>0</v>
      </c>
      <c r="C12" s="1">
        <v>1</v>
      </c>
      <c r="D12" s="2">
        <v>0.1</v>
      </c>
      <c r="E12" s="2">
        <v>0.1</v>
      </c>
      <c r="F12" s="2">
        <v>9</v>
      </c>
      <c r="G12" s="2">
        <v>0.485485</v>
      </c>
      <c r="H12" s="2">
        <v>10</v>
      </c>
      <c r="I12" s="2">
        <v>0.59350999999999998</v>
      </c>
      <c r="J12" s="2">
        <v>9.1343670446655896</v>
      </c>
      <c r="K12" s="2">
        <v>21</v>
      </c>
      <c r="L12" s="2">
        <v>0.40460299999999999</v>
      </c>
      <c r="M12" s="2">
        <v>22</v>
      </c>
      <c r="N12" s="2">
        <v>0.50697000000000003</v>
      </c>
      <c r="O12" s="2">
        <v>21.9319116512157</v>
      </c>
      <c r="P12" s="2">
        <v>12</v>
      </c>
      <c r="Q12" s="2">
        <v>12.797544606550099</v>
      </c>
    </row>
    <row r="13" spans="1:21">
      <c r="A13" t="s">
        <v>0</v>
      </c>
      <c r="C13" s="1">
        <v>1</v>
      </c>
      <c r="D13" s="2">
        <v>0.1</v>
      </c>
      <c r="E13" s="2">
        <v>0.1</v>
      </c>
      <c r="F13" s="2">
        <v>8</v>
      </c>
      <c r="G13" s="2">
        <v>0.404756</v>
      </c>
      <c r="H13" s="2">
        <v>9</v>
      </c>
      <c r="I13" s="2">
        <v>0.50218399999999996</v>
      </c>
      <c r="J13" s="2">
        <v>8.9775834462372206</v>
      </c>
      <c r="K13" s="2">
        <v>21</v>
      </c>
      <c r="L13" s="2">
        <v>0.47676800000000003</v>
      </c>
      <c r="M13" s="2">
        <v>22</v>
      </c>
      <c r="N13" s="2">
        <v>0.58574999999999999</v>
      </c>
      <c r="O13" s="2">
        <v>21.2131728175295</v>
      </c>
      <c r="P13" s="2">
        <v>13</v>
      </c>
      <c r="Q13" s="2">
        <v>12.235589371292299</v>
      </c>
    </row>
    <row r="14" spans="1:21">
      <c r="A14" t="s">
        <v>0</v>
      </c>
      <c r="C14" s="1">
        <v>1</v>
      </c>
      <c r="D14" s="2">
        <v>0.1</v>
      </c>
      <c r="E14" s="2">
        <v>0.1</v>
      </c>
      <c r="F14" s="2">
        <v>8</v>
      </c>
      <c r="G14" s="2">
        <v>0.40764</v>
      </c>
      <c r="H14" s="2">
        <v>9</v>
      </c>
      <c r="I14" s="2">
        <v>0.51646000000000003</v>
      </c>
      <c r="J14" s="2">
        <v>8.8487410402499496</v>
      </c>
      <c r="K14" s="2">
        <v>21</v>
      </c>
      <c r="L14" s="2">
        <v>0.48630099999999998</v>
      </c>
      <c r="M14" s="2">
        <v>22</v>
      </c>
      <c r="N14" s="2">
        <v>0.59078699999999995</v>
      </c>
      <c r="O14" s="2">
        <v>21.131108473862501</v>
      </c>
      <c r="P14" s="2">
        <v>13</v>
      </c>
      <c r="Q14" s="2">
        <v>12.282367433612601</v>
      </c>
    </row>
    <row r="15" spans="1:21">
      <c r="A15" t="s">
        <v>0</v>
      </c>
      <c r="C15" s="1">
        <v>1</v>
      </c>
      <c r="D15" s="2">
        <v>0.1</v>
      </c>
      <c r="E15" s="2">
        <v>0.1</v>
      </c>
      <c r="F15" s="2">
        <v>8</v>
      </c>
      <c r="G15" s="2">
        <v>0.42283199999999999</v>
      </c>
      <c r="H15" s="2">
        <v>9</v>
      </c>
      <c r="I15" s="2">
        <v>0.51349299999999998</v>
      </c>
      <c r="J15" s="2">
        <v>8.8511708452366502</v>
      </c>
      <c r="K15" s="2">
        <v>21</v>
      </c>
      <c r="L15" s="2">
        <v>0.47244599999999998</v>
      </c>
      <c r="M15" s="2">
        <v>22</v>
      </c>
      <c r="N15" s="2">
        <v>0.585812</v>
      </c>
      <c r="O15" s="2">
        <v>21.243053472822499</v>
      </c>
      <c r="P15" s="2">
        <v>13</v>
      </c>
      <c r="Q15" s="2">
        <v>12.3918826275859</v>
      </c>
    </row>
    <row r="16" spans="1:21">
      <c r="A16" t="s">
        <v>0</v>
      </c>
      <c r="C16" s="1">
        <v>1</v>
      </c>
      <c r="D16" s="2">
        <v>0.1</v>
      </c>
      <c r="E16" s="2">
        <v>0.1</v>
      </c>
      <c r="F16" s="2">
        <v>8</v>
      </c>
      <c r="G16" s="2">
        <v>0.39756000000000002</v>
      </c>
      <c r="H16" s="2">
        <v>9</v>
      </c>
      <c r="I16" s="2">
        <v>0.51359399999999999</v>
      </c>
      <c r="J16" s="2">
        <v>8.8828446834548505</v>
      </c>
      <c r="K16" s="2">
        <v>21</v>
      </c>
      <c r="L16" s="2">
        <v>0.49897999999999998</v>
      </c>
      <c r="M16" s="2">
        <v>22</v>
      </c>
      <c r="N16" s="2">
        <v>0.602962</v>
      </c>
      <c r="O16" s="2">
        <v>21.009809390086701</v>
      </c>
      <c r="P16" s="2">
        <v>13</v>
      </c>
      <c r="Q16" s="2">
        <v>12.126964706631901</v>
      </c>
    </row>
    <row r="17" spans="1:21">
      <c r="A17" t="s">
        <v>0</v>
      </c>
      <c r="C17" s="1">
        <v>1</v>
      </c>
      <c r="D17" s="2">
        <v>0.1</v>
      </c>
      <c r="E17" s="2">
        <v>0.1</v>
      </c>
      <c r="F17" s="2">
        <v>9</v>
      </c>
      <c r="G17" s="2">
        <v>0.47841</v>
      </c>
      <c r="H17" s="2">
        <v>10</v>
      </c>
      <c r="I17" s="2">
        <v>0.57870299999999997</v>
      </c>
      <c r="J17" s="2">
        <v>9.2152692610650799</v>
      </c>
      <c r="K17" s="2">
        <v>20</v>
      </c>
      <c r="L17" s="2">
        <v>0.42842400000000003</v>
      </c>
      <c r="M17" s="2">
        <v>21</v>
      </c>
      <c r="N17" s="2">
        <v>0.52528799999999998</v>
      </c>
      <c r="O17" s="2">
        <v>20.7389329369012</v>
      </c>
      <c r="P17" s="2">
        <v>11</v>
      </c>
      <c r="Q17" s="2">
        <v>11.523663675836101</v>
      </c>
    </row>
    <row r="18" spans="1:21">
      <c r="A18" t="s">
        <v>0</v>
      </c>
      <c r="C18" s="1">
        <v>1</v>
      </c>
      <c r="D18" s="2">
        <v>0.1</v>
      </c>
      <c r="E18" s="2">
        <v>0.1</v>
      </c>
      <c r="F18" s="2">
        <v>9</v>
      </c>
      <c r="G18" s="2">
        <v>0.48644599999999999</v>
      </c>
      <c r="H18" s="2">
        <v>10</v>
      </c>
      <c r="I18" s="2">
        <v>0.57954499999999998</v>
      </c>
      <c r="J18" s="2">
        <v>9.1455869558212193</v>
      </c>
      <c r="K18" s="2">
        <v>21</v>
      </c>
      <c r="L18" s="2">
        <v>0.430983</v>
      </c>
      <c r="M18" s="2">
        <v>22</v>
      </c>
      <c r="N18" s="2">
        <v>0.54169299999999998</v>
      </c>
      <c r="O18" s="2">
        <v>21.6234034865866</v>
      </c>
      <c r="P18" s="2">
        <v>12</v>
      </c>
      <c r="Q18" s="2">
        <v>12.4778165307654</v>
      </c>
    </row>
    <row r="19" spans="1:21">
      <c r="A19" t="s">
        <v>0</v>
      </c>
      <c r="C19" s="1">
        <v>1</v>
      </c>
      <c r="D19" s="2">
        <v>0.1</v>
      </c>
      <c r="E19" s="2">
        <v>0.1</v>
      </c>
      <c r="F19" s="2">
        <v>9</v>
      </c>
      <c r="G19" s="2">
        <v>0.471891</v>
      </c>
      <c r="H19" s="2">
        <v>10</v>
      </c>
      <c r="I19" s="2">
        <v>0.57186800000000004</v>
      </c>
      <c r="J19" s="2">
        <v>9.2811546655730801</v>
      </c>
      <c r="K19" s="2">
        <v>21</v>
      </c>
      <c r="L19" s="2">
        <v>0.44327100000000003</v>
      </c>
      <c r="M19" s="2">
        <v>22</v>
      </c>
      <c r="N19" s="2">
        <v>0.55455299999999996</v>
      </c>
      <c r="O19" s="2">
        <v>21.509776963030902</v>
      </c>
      <c r="P19" s="2">
        <v>12</v>
      </c>
      <c r="Q19" s="2">
        <v>12.2286222974578</v>
      </c>
    </row>
    <row r="20" spans="1:21">
      <c r="A20" t="s">
        <v>0</v>
      </c>
      <c r="C20" s="1">
        <v>1</v>
      </c>
      <c r="D20" s="2">
        <v>0.1</v>
      </c>
      <c r="E20" s="2">
        <v>0.1</v>
      </c>
      <c r="F20" s="2">
        <v>9</v>
      </c>
      <c r="G20" s="2">
        <v>0.49775399999999997</v>
      </c>
      <c r="H20" s="2">
        <v>10</v>
      </c>
      <c r="I20" s="2">
        <v>0.60159499999999999</v>
      </c>
      <c r="J20" s="2">
        <v>9.0216292215984097</v>
      </c>
      <c r="K20" s="2">
        <v>21</v>
      </c>
      <c r="L20" s="2">
        <v>0.41625899999999999</v>
      </c>
      <c r="M20" s="2">
        <v>22</v>
      </c>
      <c r="N20" s="2">
        <v>0.52844500000000005</v>
      </c>
      <c r="O20" s="2">
        <v>21.746447863369799</v>
      </c>
      <c r="P20" s="2">
        <v>12</v>
      </c>
      <c r="Q20" s="2">
        <v>12.7248186417714</v>
      </c>
    </row>
    <row r="21" spans="1:21">
      <c r="A21" t="s">
        <v>0</v>
      </c>
      <c r="C21" s="1">
        <v>1</v>
      </c>
      <c r="D21" s="2">
        <v>0.1</v>
      </c>
      <c r="E21" s="2">
        <v>0.1</v>
      </c>
      <c r="F21" s="2">
        <v>8</v>
      </c>
      <c r="G21" s="2">
        <v>0.42540699999999998</v>
      </c>
      <c r="H21" s="2">
        <v>9</v>
      </c>
      <c r="I21" s="2">
        <v>0.53412899999999996</v>
      </c>
      <c r="J21" s="2">
        <v>8.6860892919556303</v>
      </c>
      <c r="K21" s="2">
        <v>21</v>
      </c>
      <c r="L21" s="2">
        <v>0.473304</v>
      </c>
      <c r="M21" s="2">
        <v>22</v>
      </c>
      <c r="N21" s="2">
        <v>0.59289000000000003</v>
      </c>
      <c r="O21" s="2">
        <v>21.223236833743101</v>
      </c>
      <c r="P21" s="2">
        <v>13</v>
      </c>
      <c r="Q21" s="2">
        <v>12.537147541787499</v>
      </c>
    </row>
    <row r="23" spans="1:21">
      <c r="A23" t="s">
        <v>16</v>
      </c>
      <c r="C23" s="1">
        <v>1</v>
      </c>
      <c r="D23" s="2">
        <v>0.1</v>
      </c>
      <c r="E23" s="2">
        <v>0.1</v>
      </c>
      <c r="F23" s="2">
        <v>10</v>
      </c>
      <c r="G23" s="2">
        <v>0.45794400000000002</v>
      </c>
      <c r="H23" s="2">
        <v>11</v>
      </c>
      <c r="I23" s="2">
        <v>0.51335900000000001</v>
      </c>
      <c r="J23" s="2">
        <v>10.758928088062801</v>
      </c>
      <c r="K23" s="2">
        <v>24</v>
      </c>
      <c r="L23" s="2">
        <v>0.47085199999999999</v>
      </c>
      <c r="M23" s="2">
        <v>25</v>
      </c>
      <c r="N23" s="2">
        <v>0.534111</v>
      </c>
      <c r="O23" s="2">
        <v>24.460772380214699</v>
      </c>
      <c r="P23" s="2">
        <v>14</v>
      </c>
      <c r="Q23" s="2">
        <v>13.7018442921519</v>
      </c>
      <c r="S23">
        <f>AVERAGE(Q23:Q42)</f>
        <v>12.233524463148711</v>
      </c>
      <c r="T23">
        <f>STDEV(Q23:Q42)</f>
        <v>0.68594581993000392</v>
      </c>
      <c r="U23">
        <f>T23/SQRT(COUNT(Q23:Q42))</f>
        <v>0.15338214822453186</v>
      </c>
    </row>
    <row r="24" spans="1:21">
      <c r="A24" t="s">
        <v>16</v>
      </c>
      <c r="C24" s="1">
        <v>1</v>
      </c>
      <c r="D24" s="2">
        <v>0.1</v>
      </c>
      <c r="E24" s="2">
        <v>0.1</v>
      </c>
      <c r="F24" s="2">
        <v>10</v>
      </c>
      <c r="G24" s="2">
        <v>0.42078500000000002</v>
      </c>
      <c r="H24" s="2">
        <v>11</v>
      </c>
      <c r="I24" s="2">
        <v>0.50641000000000003</v>
      </c>
      <c r="J24" s="2">
        <v>10.925138686131399</v>
      </c>
      <c r="K24" s="2">
        <v>21</v>
      </c>
      <c r="L24" s="2">
        <v>0.47578300000000001</v>
      </c>
      <c r="M24" s="2">
        <v>22</v>
      </c>
      <c r="N24" s="2">
        <v>0.522505</v>
      </c>
      <c r="O24" s="2">
        <v>21.518321133513101</v>
      </c>
      <c r="P24" s="2">
        <v>11</v>
      </c>
      <c r="Q24" s="2">
        <v>10.5931824473817</v>
      </c>
    </row>
    <row r="25" spans="1:21">
      <c r="A25" t="s">
        <v>16</v>
      </c>
      <c r="C25" s="1">
        <v>1</v>
      </c>
      <c r="D25" s="2">
        <v>0.1</v>
      </c>
      <c r="E25" s="2">
        <v>0.1</v>
      </c>
      <c r="F25" s="2">
        <v>10</v>
      </c>
      <c r="G25" s="2">
        <v>0.48645699999999997</v>
      </c>
      <c r="H25" s="2">
        <v>11</v>
      </c>
      <c r="I25" s="2">
        <v>0.551952</v>
      </c>
      <c r="J25" s="2">
        <v>10.2067791434461</v>
      </c>
      <c r="K25" s="2">
        <v>22</v>
      </c>
      <c r="L25" s="2">
        <v>0.43492999999999998</v>
      </c>
      <c r="M25" s="2">
        <v>23</v>
      </c>
      <c r="N25" s="2">
        <v>0.50680899999999995</v>
      </c>
      <c r="O25" s="2">
        <v>22.905271358811301</v>
      </c>
      <c r="P25" s="2">
        <v>12</v>
      </c>
      <c r="Q25" s="2">
        <v>12.698492215365301</v>
      </c>
    </row>
    <row r="26" spans="1:21">
      <c r="A26" t="s">
        <v>16</v>
      </c>
      <c r="C26" s="1">
        <v>1</v>
      </c>
      <c r="D26" s="2">
        <v>0.1</v>
      </c>
      <c r="E26" s="2">
        <v>0.1</v>
      </c>
      <c r="F26" s="2">
        <v>10</v>
      </c>
      <c r="G26" s="2">
        <v>0.47742800000000002</v>
      </c>
      <c r="H26" s="2">
        <v>11</v>
      </c>
      <c r="I26" s="2">
        <v>0.55014700000000005</v>
      </c>
      <c r="J26" s="2">
        <v>10.310400308035</v>
      </c>
      <c r="K26" s="2">
        <v>22</v>
      </c>
      <c r="L26" s="2">
        <v>0.46677999999999997</v>
      </c>
      <c r="M26" s="2">
        <v>23</v>
      </c>
      <c r="N26" s="2">
        <v>0.54287300000000005</v>
      </c>
      <c r="O26" s="2">
        <v>22.436571038071801</v>
      </c>
      <c r="P26" s="2">
        <v>12</v>
      </c>
      <c r="Q26" s="2">
        <v>12.126170730036799</v>
      </c>
    </row>
    <row r="27" spans="1:21">
      <c r="A27" t="s">
        <v>16</v>
      </c>
      <c r="C27" s="1">
        <v>1</v>
      </c>
      <c r="D27" s="2">
        <v>0.1</v>
      </c>
      <c r="E27" s="2">
        <v>0.1</v>
      </c>
      <c r="F27" s="2">
        <v>10</v>
      </c>
      <c r="G27" s="2">
        <v>0.47557100000000002</v>
      </c>
      <c r="H27" s="2">
        <v>11</v>
      </c>
      <c r="I27" s="2">
        <v>0.53253200000000001</v>
      </c>
      <c r="J27" s="2">
        <v>10.4288723863696</v>
      </c>
      <c r="K27" s="2">
        <v>23</v>
      </c>
      <c r="L27" s="2">
        <v>0.48843999999999999</v>
      </c>
      <c r="M27" s="2">
        <v>24</v>
      </c>
      <c r="N27" s="2">
        <v>0.56517899999999999</v>
      </c>
      <c r="O27" s="2">
        <v>23.150640482675001</v>
      </c>
      <c r="P27" s="2">
        <v>13</v>
      </c>
      <c r="Q27" s="2">
        <v>12.7217680963054</v>
      </c>
    </row>
    <row r="28" spans="1:21">
      <c r="A28" t="s">
        <v>16</v>
      </c>
      <c r="C28" s="1">
        <v>1</v>
      </c>
      <c r="D28" s="2">
        <v>0.1</v>
      </c>
      <c r="E28" s="2">
        <v>0.1</v>
      </c>
      <c r="F28" s="2">
        <v>10</v>
      </c>
      <c r="G28" s="2">
        <v>0.47178900000000001</v>
      </c>
      <c r="H28" s="2">
        <v>11</v>
      </c>
      <c r="I28" s="2">
        <v>0.54957699999999998</v>
      </c>
      <c r="J28" s="2">
        <v>10.362665192574701</v>
      </c>
      <c r="K28" s="2">
        <v>22</v>
      </c>
      <c r="L28" s="2">
        <v>0.41298800000000002</v>
      </c>
      <c r="M28" s="2">
        <v>23</v>
      </c>
      <c r="N28" s="2">
        <v>0.50796300000000005</v>
      </c>
      <c r="O28" s="2">
        <v>22.9161568833904</v>
      </c>
      <c r="P28" s="2">
        <v>12</v>
      </c>
      <c r="Q28" s="2">
        <v>12.553491690815701</v>
      </c>
    </row>
    <row r="29" spans="1:21">
      <c r="A29" t="s">
        <v>16</v>
      </c>
      <c r="C29" s="1">
        <v>1</v>
      </c>
      <c r="D29" s="2">
        <v>0.1</v>
      </c>
      <c r="E29" s="2">
        <v>0.1</v>
      </c>
      <c r="F29" s="2">
        <v>10</v>
      </c>
      <c r="G29" s="2">
        <v>0.49553399999999997</v>
      </c>
      <c r="H29" s="2">
        <v>11</v>
      </c>
      <c r="I29" s="2">
        <v>0.558921</v>
      </c>
      <c r="J29" s="2">
        <v>10.0704560872103</v>
      </c>
      <c r="K29" s="2">
        <v>23</v>
      </c>
      <c r="L29" s="2">
        <v>0.494973</v>
      </c>
      <c r="M29" s="2">
        <v>24</v>
      </c>
      <c r="N29" s="2">
        <v>0.56493099999999996</v>
      </c>
      <c r="O29" s="2">
        <v>23.0718574001544</v>
      </c>
      <c r="P29" s="2">
        <v>13</v>
      </c>
      <c r="Q29" s="2">
        <v>13.0014013129441</v>
      </c>
    </row>
    <row r="30" spans="1:21">
      <c r="A30" t="s">
        <v>16</v>
      </c>
      <c r="C30" s="1">
        <v>1</v>
      </c>
      <c r="D30" s="2">
        <v>0.1</v>
      </c>
      <c r="E30" s="2">
        <v>0.1</v>
      </c>
      <c r="F30" s="2">
        <v>10</v>
      </c>
      <c r="G30" s="2">
        <v>0.44266800000000001</v>
      </c>
      <c r="H30" s="2">
        <v>11</v>
      </c>
      <c r="I30" s="2">
        <v>0.51563599999999998</v>
      </c>
      <c r="J30" s="2">
        <v>10.785714285714301</v>
      </c>
      <c r="K30" s="2">
        <v>22</v>
      </c>
      <c r="L30" s="2">
        <v>0.46204200000000001</v>
      </c>
      <c r="M30" s="2">
        <v>23</v>
      </c>
      <c r="N30" s="2">
        <v>0.536551</v>
      </c>
      <c r="O30" s="2">
        <v>22.509441812398499</v>
      </c>
      <c r="P30" s="2">
        <v>12</v>
      </c>
      <c r="Q30" s="2">
        <v>11.7237275266842</v>
      </c>
    </row>
    <row r="31" spans="1:21">
      <c r="A31" t="s">
        <v>16</v>
      </c>
      <c r="C31" s="1">
        <v>1</v>
      </c>
      <c r="D31" s="2">
        <v>0.1</v>
      </c>
      <c r="E31" s="2">
        <v>0.1</v>
      </c>
      <c r="F31" s="2">
        <v>10</v>
      </c>
      <c r="G31" s="2">
        <v>0.47577399999999997</v>
      </c>
      <c r="H31" s="2">
        <v>11</v>
      </c>
      <c r="I31" s="2">
        <v>0.558006</v>
      </c>
      <c r="J31" s="2">
        <v>10.2946055063722</v>
      </c>
      <c r="K31" s="2">
        <v>22</v>
      </c>
      <c r="L31" s="2">
        <v>0.44717099999999999</v>
      </c>
      <c r="M31" s="2">
        <v>23</v>
      </c>
      <c r="N31" s="2">
        <v>0.52008900000000002</v>
      </c>
      <c r="O31" s="2">
        <v>22.7244987520228</v>
      </c>
      <c r="P31" s="2">
        <v>12</v>
      </c>
      <c r="Q31" s="2">
        <v>12.4298932456506</v>
      </c>
    </row>
    <row r="32" spans="1:21">
      <c r="A32" t="s">
        <v>16</v>
      </c>
      <c r="C32" s="1">
        <v>1</v>
      </c>
      <c r="D32" s="2">
        <v>0.1</v>
      </c>
      <c r="E32" s="2">
        <v>0.1</v>
      </c>
      <c r="F32" s="2">
        <v>10</v>
      </c>
      <c r="G32" s="2">
        <v>0.47848400000000002</v>
      </c>
      <c r="H32" s="2">
        <v>11</v>
      </c>
      <c r="I32" s="2">
        <v>0.54356199999999999</v>
      </c>
      <c r="J32" s="2">
        <v>10.3306186422447</v>
      </c>
      <c r="K32" s="2">
        <v>22</v>
      </c>
      <c r="L32" s="2">
        <v>0.425174</v>
      </c>
      <c r="M32" s="2">
        <v>23</v>
      </c>
      <c r="N32" s="2">
        <v>0.50470899999999996</v>
      </c>
      <c r="O32" s="2">
        <v>22.940793361413199</v>
      </c>
      <c r="P32" s="2">
        <v>12</v>
      </c>
      <c r="Q32" s="2">
        <v>12.6101747191685</v>
      </c>
    </row>
    <row r="33" spans="1:21">
      <c r="A33" t="s">
        <v>16</v>
      </c>
      <c r="C33" s="1">
        <v>1</v>
      </c>
      <c r="D33" s="2">
        <v>0.1</v>
      </c>
      <c r="E33" s="2">
        <v>0.1</v>
      </c>
      <c r="F33" s="2">
        <v>10</v>
      </c>
      <c r="G33" s="2">
        <v>0.46303800000000001</v>
      </c>
      <c r="H33" s="2">
        <v>11</v>
      </c>
      <c r="I33" s="2">
        <v>0.54196100000000003</v>
      </c>
      <c r="J33" s="2">
        <v>10.4683298911597</v>
      </c>
      <c r="K33" s="2">
        <v>22</v>
      </c>
      <c r="L33" s="2">
        <v>0.45327000000000001</v>
      </c>
      <c r="M33" s="2">
        <v>23</v>
      </c>
      <c r="N33" s="2">
        <v>0.51731199999999999</v>
      </c>
      <c r="O33" s="2">
        <v>22.7296773992068</v>
      </c>
      <c r="P33" s="2">
        <v>12</v>
      </c>
      <c r="Q33" s="2">
        <v>12.261347508047001</v>
      </c>
    </row>
    <row r="34" spans="1:21">
      <c r="A34" t="s">
        <v>16</v>
      </c>
      <c r="C34" s="1">
        <v>1</v>
      </c>
      <c r="D34" s="2">
        <v>0.1</v>
      </c>
      <c r="E34" s="2">
        <v>0.1</v>
      </c>
      <c r="F34" s="2">
        <v>10</v>
      </c>
      <c r="G34" s="2">
        <v>0.467997</v>
      </c>
      <c r="H34" s="2">
        <v>11</v>
      </c>
      <c r="I34" s="2">
        <v>0.52476699999999998</v>
      </c>
      <c r="J34" s="2">
        <v>10.563730843755501</v>
      </c>
      <c r="K34" s="2">
        <v>22</v>
      </c>
      <c r="L34" s="2">
        <v>0.43987300000000001</v>
      </c>
      <c r="M34" s="2">
        <v>23</v>
      </c>
      <c r="N34" s="2">
        <v>0.52701600000000004</v>
      </c>
      <c r="O34" s="2">
        <v>22.689980836097</v>
      </c>
      <c r="P34" s="2">
        <v>12</v>
      </c>
      <c r="Q34" s="2">
        <v>12.126249992341499</v>
      </c>
    </row>
    <row r="35" spans="1:21">
      <c r="A35" t="s">
        <v>16</v>
      </c>
      <c r="C35" s="1">
        <v>1</v>
      </c>
      <c r="D35" s="2">
        <v>0.1</v>
      </c>
      <c r="E35" s="2">
        <v>0.1</v>
      </c>
      <c r="F35" s="2">
        <v>10</v>
      </c>
      <c r="G35" s="2">
        <v>0.45194899999999999</v>
      </c>
      <c r="H35" s="2">
        <v>11</v>
      </c>
      <c r="I35" s="2">
        <v>0.51760899999999999</v>
      </c>
      <c r="J35" s="2">
        <v>10.731815412732301</v>
      </c>
      <c r="K35" s="2">
        <v>22</v>
      </c>
      <c r="L35" s="2">
        <v>0.48026200000000002</v>
      </c>
      <c r="M35" s="2">
        <v>23</v>
      </c>
      <c r="N35" s="2">
        <v>0.55192600000000003</v>
      </c>
      <c r="O35" s="2">
        <v>22.275424201830798</v>
      </c>
      <c r="P35" s="2">
        <v>12</v>
      </c>
      <c r="Q35" s="2">
        <v>11.543608789098499</v>
      </c>
    </row>
    <row r="36" spans="1:21">
      <c r="A36" t="s">
        <v>16</v>
      </c>
      <c r="C36" s="1">
        <v>1</v>
      </c>
      <c r="D36" s="2">
        <v>0.1</v>
      </c>
      <c r="E36" s="2">
        <v>0.1</v>
      </c>
      <c r="F36" s="2">
        <v>10</v>
      </c>
      <c r="G36" s="2">
        <v>0.46759899999999999</v>
      </c>
      <c r="H36" s="2">
        <v>11</v>
      </c>
      <c r="I36" s="2">
        <v>0.556782</v>
      </c>
      <c r="J36" s="2">
        <v>10.363309150847099</v>
      </c>
      <c r="K36" s="2">
        <v>23</v>
      </c>
      <c r="L36" s="2">
        <v>0.48948999999999998</v>
      </c>
      <c r="M36" s="2">
        <v>24</v>
      </c>
      <c r="N36" s="2">
        <v>0.55879400000000001</v>
      </c>
      <c r="O36" s="2">
        <v>23.1516506983724</v>
      </c>
      <c r="P36" s="2">
        <v>13</v>
      </c>
      <c r="Q36" s="2">
        <v>12.788341547525301</v>
      </c>
    </row>
    <row r="37" spans="1:21">
      <c r="A37" t="s">
        <v>16</v>
      </c>
      <c r="C37" s="1">
        <v>1</v>
      </c>
      <c r="D37" s="2">
        <v>0.1</v>
      </c>
      <c r="E37" s="2">
        <v>0.1</v>
      </c>
      <c r="F37" s="2">
        <v>10</v>
      </c>
      <c r="G37" s="2">
        <v>0.45067200000000002</v>
      </c>
      <c r="H37" s="2">
        <v>11</v>
      </c>
      <c r="I37" s="2">
        <v>0.53529000000000004</v>
      </c>
      <c r="J37" s="2">
        <v>10.5829492542958</v>
      </c>
      <c r="K37" s="2">
        <v>21</v>
      </c>
      <c r="L37" s="2">
        <v>0.43711100000000003</v>
      </c>
      <c r="M37" s="2">
        <v>22</v>
      </c>
      <c r="N37" s="2">
        <v>0.50370999999999999</v>
      </c>
      <c r="O37" s="2">
        <v>21.9442934578597</v>
      </c>
      <c r="P37" s="2">
        <v>11</v>
      </c>
      <c r="Q37" s="2">
        <v>11.361344203564</v>
      </c>
    </row>
    <row r="38" spans="1:21">
      <c r="A38" t="s">
        <v>16</v>
      </c>
      <c r="C38" s="1">
        <v>1</v>
      </c>
      <c r="D38" s="2">
        <v>0.1</v>
      </c>
      <c r="E38" s="2">
        <v>0.1</v>
      </c>
      <c r="F38" s="2">
        <v>10</v>
      </c>
      <c r="G38" s="2">
        <v>0.46961900000000001</v>
      </c>
      <c r="H38" s="2">
        <v>11</v>
      </c>
      <c r="I38" s="2">
        <v>0.55362900000000004</v>
      </c>
      <c r="J38" s="2">
        <v>10.361635519581</v>
      </c>
      <c r="K38" s="2">
        <v>22</v>
      </c>
      <c r="L38" s="2">
        <v>0.45018000000000002</v>
      </c>
      <c r="M38" s="2">
        <v>23</v>
      </c>
      <c r="N38" s="2">
        <v>0.52710000000000001</v>
      </c>
      <c r="O38" s="2">
        <v>22.647685907436301</v>
      </c>
      <c r="P38" s="2">
        <v>12</v>
      </c>
      <c r="Q38" s="2">
        <v>12.286050387855299</v>
      </c>
    </row>
    <row r="39" spans="1:21">
      <c r="A39" t="s">
        <v>16</v>
      </c>
      <c r="C39" s="1">
        <v>1</v>
      </c>
      <c r="D39" s="2">
        <v>0.1</v>
      </c>
      <c r="E39" s="2">
        <v>0.1</v>
      </c>
      <c r="F39" s="2">
        <v>10</v>
      </c>
      <c r="G39" s="2">
        <v>0.46371600000000002</v>
      </c>
      <c r="H39" s="2">
        <v>11</v>
      </c>
      <c r="I39" s="2">
        <v>0.52295100000000005</v>
      </c>
      <c r="J39" s="2">
        <v>10.612543259897</v>
      </c>
      <c r="K39" s="2">
        <v>23</v>
      </c>
      <c r="L39" s="2">
        <v>0.485178</v>
      </c>
      <c r="M39" s="2">
        <v>24</v>
      </c>
      <c r="N39" s="2">
        <v>0.56527499999999997</v>
      </c>
      <c r="O39" s="2">
        <v>23.1850506261158</v>
      </c>
      <c r="P39" s="2">
        <v>13</v>
      </c>
      <c r="Q39" s="2">
        <v>12.572507366218799</v>
      </c>
    </row>
    <row r="40" spans="1:21">
      <c r="A40" t="s">
        <v>16</v>
      </c>
      <c r="C40" s="1">
        <v>1</v>
      </c>
      <c r="D40" s="2">
        <v>0.1</v>
      </c>
      <c r="E40" s="2">
        <v>0.1</v>
      </c>
      <c r="F40" s="2">
        <v>10</v>
      </c>
      <c r="G40" s="2">
        <v>0.42930000000000001</v>
      </c>
      <c r="H40" s="2">
        <v>11</v>
      </c>
      <c r="I40" s="2">
        <v>0.50761100000000003</v>
      </c>
      <c r="J40" s="2">
        <v>10.9028105885508</v>
      </c>
      <c r="K40" s="2">
        <v>22</v>
      </c>
      <c r="L40" s="2">
        <v>0.47450700000000001</v>
      </c>
      <c r="M40" s="2">
        <v>23</v>
      </c>
      <c r="N40" s="2">
        <v>0.54521299999999995</v>
      </c>
      <c r="O40" s="2">
        <v>22.360549316889699</v>
      </c>
      <c r="P40" s="2">
        <v>12</v>
      </c>
      <c r="Q40" s="2">
        <v>11.457738728338899</v>
      </c>
    </row>
    <row r="41" spans="1:21">
      <c r="A41" t="s">
        <v>16</v>
      </c>
      <c r="C41" s="1">
        <v>1</v>
      </c>
      <c r="D41" s="2">
        <v>0.1</v>
      </c>
      <c r="E41" s="2">
        <v>0.1</v>
      </c>
      <c r="F41" s="2">
        <v>10</v>
      </c>
      <c r="G41" s="2">
        <v>0.49451200000000001</v>
      </c>
      <c r="H41" s="2">
        <v>11</v>
      </c>
      <c r="I41" s="2">
        <v>0.56343399999999999</v>
      </c>
      <c r="J41" s="2">
        <v>10.079626244160099</v>
      </c>
      <c r="K41" s="2">
        <v>22</v>
      </c>
      <c r="L41" s="2">
        <v>0.46658100000000002</v>
      </c>
      <c r="M41" s="2">
        <v>23</v>
      </c>
      <c r="N41" s="2">
        <v>0.54703599999999997</v>
      </c>
      <c r="O41" s="2">
        <v>22.415375054378199</v>
      </c>
      <c r="P41" s="2">
        <v>12</v>
      </c>
      <c r="Q41" s="2">
        <v>12.335748810218201</v>
      </c>
    </row>
    <row r="42" spans="1:21">
      <c r="A42" t="s">
        <v>16</v>
      </c>
      <c r="C42" s="1">
        <v>1</v>
      </c>
      <c r="D42" s="2">
        <v>0.1</v>
      </c>
      <c r="E42" s="2">
        <v>0.1</v>
      </c>
      <c r="F42" s="2">
        <v>10</v>
      </c>
      <c r="G42" s="2">
        <v>0.47065200000000001</v>
      </c>
      <c r="H42" s="2">
        <v>11</v>
      </c>
      <c r="I42" s="2">
        <v>0.55942999999999998</v>
      </c>
      <c r="J42" s="2">
        <v>10.330577395300599</v>
      </c>
      <c r="K42" s="2">
        <v>22</v>
      </c>
      <c r="L42" s="2">
        <v>0.49278899999999998</v>
      </c>
      <c r="M42" s="2">
        <v>23</v>
      </c>
      <c r="N42" s="2">
        <v>0.55956799999999995</v>
      </c>
      <c r="O42" s="2">
        <v>22.107983048563199</v>
      </c>
      <c r="P42" s="2">
        <v>12</v>
      </c>
      <c r="Q42" s="2">
        <v>11.7774056532625</v>
      </c>
    </row>
    <row r="45" spans="1:21">
      <c r="A45" t="s">
        <v>17</v>
      </c>
      <c r="C45" s="1">
        <v>1</v>
      </c>
      <c r="D45" s="2">
        <v>0.1</v>
      </c>
      <c r="E45" s="2">
        <v>0.1</v>
      </c>
      <c r="F45" s="2">
        <v>9</v>
      </c>
      <c r="G45" s="2">
        <v>0.49813800000000003</v>
      </c>
      <c r="H45" s="2">
        <v>10</v>
      </c>
      <c r="I45" s="2">
        <v>0.57477500000000004</v>
      </c>
      <c r="J45" s="2">
        <v>9.0242963581559792</v>
      </c>
      <c r="K45" s="2">
        <v>21</v>
      </c>
      <c r="L45" s="2">
        <v>0.46837499999999999</v>
      </c>
      <c r="M45" s="2">
        <v>22</v>
      </c>
      <c r="N45" s="2">
        <v>0.56513000000000002</v>
      </c>
      <c r="O45" s="2">
        <v>21.326856493204499</v>
      </c>
      <c r="P45" s="2">
        <v>12</v>
      </c>
      <c r="Q45" s="2">
        <v>12.3025601350485</v>
      </c>
      <c r="S45">
        <f>AVERAGE(Q45:Q64)</f>
        <v>12.356167770203236</v>
      </c>
      <c r="T45">
        <f>STDEV(Q45:Q64)</f>
        <v>0.31325438191414556</v>
      </c>
      <c r="U45">
        <f>T45/SQRT(COUNT(Q45:Q64))</f>
        <v>7.004580922097102E-2</v>
      </c>
    </row>
    <row r="46" spans="1:21">
      <c r="A46" t="s">
        <v>17</v>
      </c>
      <c r="C46" s="1">
        <v>1</v>
      </c>
      <c r="D46" s="2">
        <v>0.1</v>
      </c>
      <c r="E46" s="2">
        <v>0.1</v>
      </c>
      <c r="F46" s="2">
        <v>9</v>
      </c>
      <c r="G46" s="2">
        <v>0.46835199999999999</v>
      </c>
      <c r="H46" s="2">
        <v>10</v>
      </c>
      <c r="I46" s="2">
        <v>0.58439700000000006</v>
      </c>
      <c r="J46" s="2">
        <v>9.2727217889611797</v>
      </c>
      <c r="K46" s="2">
        <v>21</v>
      </c>
      <c r="L46" s="2">
        <v>0.442048</v>
      </c>
      <c r="M46" s="2">
        <v>22</v>
      </c>
      <c r="N46" s="2">
        <v>0.53430200000000005</v>
      </c>
      <c r="O46" s="2">
        <v>21.628178723957799</v>
      </c>
      <c r="P46" s="2">
        <v>12</v>
      </c>
      <c r="Q46" s="2">
        <v>12.355456934996599</v>
      </c>
    </row>
    <row r="47" spans="1:21">
      <c r="A47" t="s">
        <v>17</v>
      </c>
      <c r="C47" s="1">
        <v>1</v>
      </c>
      <c r="D47" s="2">
        <v>0.1</v>
      </c>
      <c r="E47" s="2">
        <v>0.1</v>
      </c>
      <c r="F47" s="2">
        <v>9</v>
      </c>
      <c r="G47" s="2">
        <v>0.454073</v>
      </c>
      <c r="H47" s="2">
        <v>10</v>
      </c>
      <c r="I47" s="2">
        <v>0.552894</v>
      </c>
      <c r="J47" s="2">
        <v>9.4647493953714292</v>
      </c>
      <c r="K47" s="2">
        <v>21</v>
      </c>
      <c r="L47" s="2">
        <v>0.481624</v>
      </c>
      <c r="M47" s="2">
        <v>22</v>
      </c>
      <c r="N47" s="2">
        <v>0.55221200000000004</v>
      </c>
      <c r="O47" s="2">
        <v>21.260327534425102</v>
      </c>
      <c r="P47" s="2">
        <v>12</v>
      </c>
      <c r="Q47" s="2">
        <v>11.795578139053699</v>
      </c>
    </row>
    <row r="48" spans="1:21">
      <c r="A48" t="s">
        <v>17</v>
      </c>
      <c r="C48" s="1">
        <v>1</v>
      </c>
      <c r="D48" s="2">
        <v>0.1</v>
      </c>
      <c r="E48" s="2">
        <v>0.1</v>
      </c>
      <c r="F48" s="2">
        <v>9</v>
      </c>
      <c r="G48" s="2">
        <v>0.47148699999999999</v>
      </c>
      <c r="H48" s="2">
        <v>10</v>
      </c>
      <c r="I48" s="2">
        <v>0.54708199999999996</v>
      </c>
      <c r="J48" s="2">
        <v>9.3771810304914407</v>
      </c>
      <c r="K48" s="2">
        <v>21</v>
      </c>
      <c r="L48" s="2">
        <v>0.44750400000000001</v>
      </c>
      <c r="M48" s="2">
        <v>22</v>
      </c>
      <c r="N48" s="2">
        <v>0.54284100000000002</v>
      </c>
      <c r="O48" s="2">
        <v>21.550636164343299</v>
      </c>
      <c r="P48" s="2">
        <v>12</v>
      </c>
      <c r="Q48" s="2">
        <v>12.173455133851901</v>
      </c>
    </row>
    <row r="49" spans="1:17">
      <c r="A49" t="s">
        <v>17</v>
      </c>
      <c r="C49" s="1">
        <v>1</v>
      </c>
      <c r="D49" s="2">
        <v>0.1</v>
      </c>
      <c r="E49" s="2">
        <v>0.1</v>
      </c>
      <c r="F49" s="2">
        <v>9</v>
      </c>
      <c r="G49" s="2">
        <v>0.46593800000000002</v>
      </c>
      <c r="H49" s="2">
        <v>10</v>
      </c>
      <c r="I49" s="2">
        <v>0.55292699999999995</v>
      </c>
      <c r="J49" s="2">
        <v>9.3915667498189404</v>
      </c>
      <c r="K49" s="2">
        <v>21</v>
      </c>
      <c r="L49" s="2">
        <v>0.42236899999999999</v>
      </c>
      <c r="M49" s="2">
        <v>22</v>
      </c>
      <c r="N49" s="2">
        <v>0.51693199999999995</v>
      </c>
      <c r="O49" s="2">
        <v>21.820944766980698</v>
      </c>
      <c r="P49" s="2">
        <v>12</v>
      </c>
      <c r="Q49" s="2">
        <v>12.429378017161801</v>
      </c>
    </row>
    <row r="50" spans="1:17">
      <c r="A50" t="s">
        <v>17</v>
      </c>
      <c r="C50" s="1">
        <v>1</v>
      </c>
      <c r="D50" s="2">
        <v>0.1</v>
      </c>
      <c r="E50" s="2">
        <v>0.1</v>
      </c>
      <c r="F50" s="2">
        <v>9</v>
      </c>
      <c r="G50" s="2">
        <v>0.46562500000000001</v>
      </c>
      <c r="H50" s="2">
        <v>10</v>
      </c>
      <c r="I50" s="2">
        <v>0.54503400000000002</v>
      </c>
      <c r="J50" s="2">
        <v>9.4328854411968397</v>
      </c>
      <c r="K50" s="2">
        <v>21</v>
      </c>
      <c r="L50" s="2">
        <v>0.42173500000000003</v>
      </c>
      <c r="M50" s="2">
        <v>22</v>
      </c>
      <c r="N50" s="2">
        <v>0.50473400000000002</v>
      </c>
      <c r="O50" s="2">
        <v>21.9429631682309</v>
      </c>
      <c r="P50" s="2">
        <v>12</v>
      </c>
      <c r="Q50" s="2">
        <v>12.510077727034099</v>
      </c>
    </row>
    <row r="51" spans="1:17">
      <c r="A51" t="s">
        <v>17</v>
      </c>
      <c r="C51" s="1">
        <v>1</v>
      </c>
      <c r="D51" s="2">
        <v>0.1</v>
      </c>
      <c r="E51" s="2">
        <v>0.1</v>
      </c>
      <c r="F51" s="2">
        <v>9</v>
      </c>
      <c r="G51" s="2">
        <v>0.46254400000000001</v>
      </c>
      <c r="H51" s="2">
        <v>10</v>
      </c>
      <c r="I51" s="2">
        <v>0.55403100000000005</v>
      </c>
      <c r="J51" s="2">
        <v>9.4094133592750904</v>
      </c>
      <c r="K51" s="2">
        <v>21</v>
      </c>
      <c r="L51" s="2">
        <v>0.457119</v>
      </c>
      <c r="M51" s="2">
        <v>22</v>
      </c>
      <c r="N51" s="2">
        <v>0.55610700000000002</v>
      </c>
      <c r="O51" s="2">
        <v>21.4331939224957</v>
      </c>
      <c r="P51" s="2">
        <v>12</v>
      </c>
      <c r="Q51" s="2">
        <v>12.023780563220599</v>
      </c>
    </row>
    <row r="52" spans="1:17">
      <c r="A52" t="s">
        <v>17</v>
      </c>
      <c r="C52" s="1">
        <v>1</v>
      </c>
      <c r="D52" s="2">
        <v>0.1</v>
      </c>
      <c r="E52" s="2">
        <v>0.1</v>
      </c>
      <c r="F52" s="2">
        <v>9</v>
      </c>
      <c r="G52" s="2">
        <v>0.462723</v>
      </c>
      <c r="H52" s="2">
        <v>10</v>
      </c>
      <c r="I52" s="2">
        <v>0.558527</v>
      </c>
      <c r="J52" s="2">
        <v>9.3890964886643609</v>
      </c>
      <c r="K52" s="2">
        <v>21</v>
      </c>
      <c r="L52" s="2">
        <v>0.42507</v>
      </c>
      <c r="M52" s="2">
        <v>22</v>
      </c>
      <c r="N52" s="2">
        <v>0.50634000000000001</v>
      </c>
      <c r="O52" s="2">
        <v>21.921988433616299</v>
      </c>
      <c r="P52" s="2">
        <v>12</v>
      </c>
      <c r="Q52" s="2">
        <v>12.532891944952</v>
      </c>
    </row>
    <row r="53" spans="1:17">
      <c r="A53" t="s">
        <v>17</v>
      </c>
      <c r="C53" s="1">
        <v>1</v>
      </c>
      <c r="D53" s="2">
        <v>0.1</v>
      </c>
      <c r="E53" s="2">
        <v>0.1</v>
      </c>
      <c r="F53" s="2">
        <v>9</v>
      </c>
      <c r="G53" s="2">
        <v>0.46509400000000001</v>
      </c>
      <c r="H53" s="2">
        <v>10</v>
      </c>
      <c r="I53" s="2">
        <v>0.55432400000000004</v>
      </c>
      <c r="J53" s="2">
        <v>9.3911913033733008</v>
      </c>
      <c r="K53" s="2">
        <v>21</v>
      </c>
      <c r="L53" s="2">
        <v>0.47417999999999999</v>
      </c>
      <c r="M53" s="2">
        <v>22</v>
      </c>
      <c r="N53" s="2">
        <v>0.56153799999999998</v>
      </c>
      <c r="O53" s="2">
        <v>21.295565374665198</v>
      </c>
      <c r="P53" s="2">
        <v>12</v>
      </c>
      <c r="Q53" s="2">
        <v>11.904374071291899</v>
      </c>
    </row>
    <row r="54" spans="1:17">
      <c r="A54" t="s">
        <v>17</v>
      </c>
      <c r="C54" s="1">
        <v>1</v>
      </c>
      <c r="D54" s="2">
        <v>0.1</v>
      </c>
      <c r="E54" s="2">
        <v>0.1</v>
      </c>
      <c r="F54" s="2">
        <v>9</v>
      </c>
      <c r="G54" s="2">
        <v>0.45948800000000001</v>
      </c>
      <c r="H54" s="2">
        <v>10</v>
      </c>
      <c r="I54" s="2">
        <v>0.53695700000000002</v>
      </c>
      <c r="J54" s="2">
        <v>9.5229446617356608</v>
      </c>
      <c r="K54" s="2">
        <v>21</v>
      </c>
      <c r="L54" s="2">
        <v>0.45944299999999999</v>
      </c>
      <c r="M54" s="2">
        <v>22</v>
      </c>
      <c r="N54" s="2">
        <v>0.54568000000000005</v>
      </c>
      <c r="O54" s="2">
        <v>21.470296972297302</v>
      </c>
      <c r="P54" s="2">
        <v>12</v>
      </c>
      <c r="Q54" s="2">
        <v>11.9473523105616</v>
      </c>
    </row>
    <row r="55" spans="1:17">
      <c r="A55" t="s">
        <v>17</v>
      </c>
      <c r="C55" s="1">
        <v>1</v>
      </c>
      <c r="D55" s="2">
        <v>0.1</v>
      </c>
      <c r="E55" s="2">
        <v>0.1</v>
      </c>
      <c r="F55" s="2">
        <v>9</v>
      </c>
      <c r="G55" s="2">
        <v>0.46583400000000003</v>
      </c>
      <c r="H55" s="2">
        <v>10</v>
      </c>
      <c r="I55" s="2">
        <v>0.55482900000000002</v>
      </c>
      <c r="J55" s="2">
        <v>9.3839092083824909</v>
      </c>
      <c r="K55" s="2">
        <v>21</v>
      </c>
      <c r="L55" s="2">
        <v>0.44144299999999997</v>
      </c>
      <c r="M55" s="2">
        <v>22</v>
      </c>
      <c r="N55" s="2">
        <v>0.52368700000000001</v>
      </c>
      <c r="O55" s="2">
        <v>21.711991148290501</v>
      </c>
      <c r="P55" s="2">
        <v>12</v>
      </c>
      <c r="Q55" s="2">
        <v>12.328081939907999</v>
      </c>
    </row>
    <row r="56" spans="1:17">
      <c r="A56" t="s">
        <v>17</v>
      </c>
      <c r="C56" s="1">
        <v>1</v>
      </c>
      <c r="D56" s="2">
        <v>0.1</v>
      </c>
      <c r="E56" s="2">
        <v>0.1</v>
      </c>
      <c r="F56" s="2">
        <v>9</v>
      </c>
      <c r="G56" s="2">
        <v>0.449463</v>
      </c>
      <c r="H56" s="2">
        <v>10</v>
      </c>
      <c r="I56" s="2">
        <v>0.53800599999999998</v>
      </c>
      <c r="J56" s="2">
        <v>9.5707622285217404</v>
      </c>
      <c r="K56" s="2">
        <v>21</v>
      </c>
      <c r="L56" s="2">
        <v>0.3947</v>
      </c>
      <c r="M56" s="2">
        <v>22</v>
      </c>
      <c r="N56" s="2">
        <v>0.50255399999999995</v>
      </c>
      <c r="O56" s="2">
        <v>21.9763198397834</v>
      </c>
      <c r="P56" s="2">
        <v>12</v>
      </c>
      <c r="Q56" s="2">
        <v>12.405557611261701</v>
      </c>
    </row>
    <row r="57" spans="1:17">
      <c r="A57" t="s">
        <v>17</v>
      </c>
      <c r="C57" s="1">
        <v>1</v>
      </c>
      <c r="D57" s="2">
        <v>0.1</v>
      </c>
      <c r="E57" s="2">
        <v>0.1</v>
      </c>
      <c r="F57" s="2">
        <v>9</v>
      </c>
      <c r="G57" s="2">
        <v>0.45801199999999997</v>
      </c>
      <c r="H57" s="2">
        <v>10</v>
      </c>
      <c r="I57" s="2">
        <v>0.54860299999999995</v>
      </c>
      <c r="J57" s="2">
        <v>9.4634897506374802</v>
      </c>
      <c r="K57" s="2">
        <v>21</v>
      </c>
      <c r="L57" s="2">
        <v>0.44947100000000001</v>
      </c>
      <c r="M57" s="2">
        <v>22</v>
      </c>
      <c r="N57" s="2">
        <v>0.53634499999999996</v>
      </c>
      <c r="O57" s="2">
        <v>21.581635472062999</v>
      </c>
      <c r="P57" s="2">
        <v>12</v>
      </c>
      <c r="Q57" s="2">
        <v>12.118145721425501</v>
      </c>
    </row>
    <row r="58" spans="1:17">
      <c r="A58" t="s">
        <v>17</v>
      </c>
      <c r="C58" s="1">
        <v>1</v>
      </c>
      <c r="D58" s="2">
        <v>0.1</v>
      </c>
      <c r="E58" s="2">
        <v>0.1</v>
      </c>
      <c r="F58" s="2">
        <v>9</v>
      </c>
      <c r="G58" s="2">
        <v>0.46609200000000001</v>
      </c>
      <c r="H58" s="2">
        <v>10</v>
      </c>
      <c r="I58" s="2">
        <v>0.54327400000000003</v>
      </c>
      <c r="J58" s="2">
        <v>9.4393252312715408</v>
      </c>
      <c r="K58" s="2">
        <v>21</v>
      </c>
      <c r="L58" s="2">
        <v>0.44144600000000001</v>
      </c>
      <c r="M58" s="2">
        <v>22</v>
      </c>
      <c r="N58" s="2">
        <v>0.52432000000000001</v>
      </c>
      <c r="O58" s="2">
        <v>21.706542462050798</v>
      </c>
      <c r="P58" s="2">
        <v>12</v>
      </c>
      <c r="Q58" s="2">
        <v>12.2672172307793</v>
      </c>
    </row>
    <row r="59" spans="1:17">
      <c r="A59" t="s">
        <v>17</v>
      </c>
      <c r="C59" s="1">
        <v>1</v>
      </c>
      <c r="D59" s="2">
        <v>0.1</v>
      </c>
      <c r="E59" s="2">
        <v>0.1</v>
      </c>
      <c r="F59" s="2">
        <v>9</v>
      </c>
      <c r="G59" s="2">
        <v>0.47828300000000001</v>
      </c>
      <c r="H59" s="2">
        <v>10</v>
      </c>
      <c r="I59" s="2">
        <v>0.56215400000000004</v>
      </c>
      <c r="J59" s="2">
        <v>9.25893336194871</v>
      </c>
      <c r="K59" s="2">
        <v>21</v>
      </c>
      <c r="L59" s="2">
        <v>0.447073</v>
      </c>
      <c r="M59" s="2">
        <v>22</v>
      </c>
      <c r="N59" s="2">
        <v>0.53141799999999995</v>
      </c>
      <c r="O59" s="2">
        <v>21.6275060762345</v>
      </c>
      <c r="P59" s="2">
        <v>12</v>
      </c>
      <c r="Q59" s="2">
        <v>12.368572714285801</v>
      </c>
    </row>
    <row r="60" spans="1:17">
      <c r="A60" t="s">
        <v>17</v>
      </c>
      <c r="C60" s="1">
        <v>1</v>
      </c>
      <c r="D60" s="2">
        <v>0.1</v>
      </c>
      <c r="E60" s="2">
        <v>0.1</v>
      </c>
      <c r="F60" s="2">
        <v>9</v>
      </c>
      <c r="G60" s="2">
        <v>0.46985300000000002</v>
      </c>
      <c r="H60" s="2">
        <v>10</v>
      </c>
      <c r="I60" s="2">
        <v>0.54752599999999996</v>
      </c>
      <c r="J60" s="2">
        <v>9.3881271484299607</v>
      </c>
      <c r="K60" s="2">
        <v>22</v>
      </c>
      <c r="L60" s="2">
        <v>0.49260500000000002</v>
      </c>
      <c r="M60" s="2">
        <v>23</v>
      </c>
      <c r="N60" s="2">
        <v>0.58000399999999996</v>
      </c>
      <c r="O60" s="2">
        <v>22.084611952081801</v>
      </c>
      <c r="P60" s="2">
        <v>13</v>
      </c>
      <c r="Q60" s="2">
        <v>12.6964848036519</v>
      </c>
    </row>
    <row r="61" spans="1:17">
      <c r="A61" t="s">
        <v>17</v>
      </c>
      <c r="C61" s="1">
        <v>1</v>
      </c>
      <c r="D61" s="2">
        <v>0.1</v>
      </c>
      <c r="E61" s="2">
        <v>0.1</v>
      </c>
      <c r="F61" s="2">
        <v>9</v>
      </c>
      <c r="G61" s="2">
        <v>0.46782099999999999</v>
      </c>
      <c r="H61" s="2">
        <v>10</v>
      </c>
      <c r="I61" s="2">
        <v>0.54478899999999997</v>
      </c>
      <c r="J61" s="2">
        <v>9.4180828396216594</v>
      </c>
      <c r="K61" s="2">
        <v>22</v>
      </c>
      <c r="L61" s="2">
        <v>0.49921500000000002</v>
      </c>
      <c r="M61" s="2">
        <v>23</v>
      </c>
      <c r="N61" s="2">
        <v>0.58773900000000001</v>
      </c>
      <c r="O61" s="2">
        <v>22.0088676517103</v>
      </c>
      <c r="P61" s="2">
        <v>13</v>
      </c>
      <c r="Q61" s="2">
        <v>12.5907848120886</v>
      </c>
    </row>
    <row r="62" spans="1:17">
      <c r="A62" t="s">
        <v>17</v>
      </c>
      <c r="C62" s="1">
        <v>1</v>
      </c>
      <c r="D62" s="2">
        <v>0.1</v>
      </c>
      <c r="E62" s="2">
        <v>0.1</v>
      </c>
      <c r="F62" s="2">
        <v>9</v>
      </c>
      <c r="G62" s="2">
        <v>0.47947899999999999</v>
      </c>
      <c r="H62" s="2">
        <v>10</v>
      </c>
      <c r="I62" s="2">
        <v>0.55559499999999995</v>
      </c>
      <c r="J62" s="2">
        <v>9.2696016606232607</v>
      </c>
      <c r="K62" s="2">
        <v>22</v>
      </c>
      <c r="L62" s="2">
        <v>0.47937999999999997</v>
      </c>
      <c r="M62" s="2">
        <v>23</v>
      </c>
      <c r="N62" s="2">
        <v>0.57422200000000001</v>
      </c>
      <c r="O62" s="2">
        <v>22.217414225765001</v>
      </c>
      <c r="P62" s="2">
        <v>13</v>
      </c>
      <c r="Q62" s="2">
        <v>12.9478125651417</v>
      </c>
    </row>
    <row r="63" spans="1:17">
      <c r="A63" t="s">
        <v>17</v>
      </c>
      <c r="C63" s="1">
        <v>1</v>
      </c>
      <c r="D63" s="2">
        <v>0.1</v>
      </c>
      <c r="E63" s="2">
        <v>0.1</v>
      </c>
      <c r="F63" s="2">
        <v>9</v>
      </c>
      <c r="G63" s="2">
        <v>0.438081</v>
      </c>
      <c r="H63" s="2">
        <v>10</v>
      </c>
      <c r="I63" s="2">
        <v>0.53174699999999997</v>
      </c>
      <c r="J63" s="2">
        <v>9.6610616445668693</v>
      </c>
      <c r="K63" s="2">
        <v>22</v>
      </c>
      <c r="L63" s="2">
        <v>0.49007400000000001</v>
      </c>
      <c r="M63" s="2">
        <v>23</v>
      </c>
      <c r="N63" s="2">
        <v>0.57249099999999997</v>
      </c>
      <c r="O63" s="2">
        <v>22.120436317749999</v>
      </c>
      <c r="P63" s="2">
        <v>13</v>
      </c>
      <c r="Q63" s="2">
        <v>12.459374673183101</v>
      </c>
    </row>
    <row r="64" spans="1:17">
      <c r="A64" t="s">
        <v>17</v>
      </c>
      <c r="C64" s="1">
        <v>1</v>
      </c>
      <c r="D64" s="2">
        <v>0.1</v>
      </c>
      <c r="E64" s="2">
        <v>0.1</v>
      </c>
      <c r="F64" s="2">
        <v>9</v>
      </c>
      <c r="G64" s="2">
        <v>0.46689900000000001</v>
      </c>
      <c r="H64" s="2">
        <v>10</v>
      </c>
      <c r="I64" s="2">
        <v>0.542076</v>
      </c>
      <c r="J64" s="2">
        <v>9.4403075408702097</v>
      </c>
      <c r="K64" s="2">
        <v>22</v>
      </c>
      <c r="L64" s="2">
        <v>0.46653499999999998</v>
      </c>
      <c r="M64" s="2">
        <v>23</v>
      </c>
      <c r="N64" s="2">
        <v>0.54881400000000002</v>
      </c>
      <c r="O64" s="2">
        <v>22.406725896036701</v>
      </c>
      <c r="P64" s="2">
        <v>13</v>
      </c>
      <c r="Q64" s="2">
        <v>12.9664183551664</v>
      </c>
    </row>
    <row r="67" spans="1:21">
      <c r="A67" t="s">
        <v>20</v>
      </c>
      <c r="C67" s="1">
        <v>0</v>
      </c>
      <c r="D67" s="2">
        <v>1</v>
      </c>
      <c r="E67" s="2">
        <v>0</v>
      </c>
      <c r="F67" s="2">
        <v>26</v>
      </c>
      <c r="G67" s="2">
        <v>0.80932800000000005</v>
      </c>
      <c r="H67" s="2">
        <v>27</v>
      </c>
      <c r="I67" s="2">
        <v>0.79006799999999999</v>
      </c>
      <c r="J67" s="2">
        <v>26.484319833852499</v>
      </c>
      <c r="K67" s="2">
        <v>121</v>
      </c>
      <c r="L67" s="2">
        <v>0.80187900000000001</v>
      </c>
      <c r="M67" s="2">
        <v>122</v>
      </c>
      <c r="N67" s="2">
        <v>0.79616500000000001</v>
      </c>
      <c r="O67" s="2">
        <v>121.328841442072</v>
      </c>
      <c r="P67" s="2">
        <v>95</v>
      </c>
      <c r="Q67" s="2">
        <v>94.844521608219594</v>
      </c>
      <c r="S67">
        <f>AVERAGE(Q67:Q126)</f>
        <v>100.12050901677985</v>
      </c>
      <c r="T67">
        <f>STDEV(Q67:Q126)</f>
        <v>10.929152235779613</v>
      </c>
      <c r="U67">
        <f>T67/SQRT(COUNT(Q67:Q126))</f>
        <v>1.4109474865779998</v>
      </c>
    </row>
    <row r="68" spans="1:21">
      <c r="A68" t="s">
        <v>20</v>
      </c>
      <c r="C68" s="1">
        <v>0</v>
      </c>
      <c r="D68" s="2">
        <v>1</v>
      </c>
      <c r="E68" s="2">
        <v>0</v>
      </c>
      <c r="F68" s="2">
        <v>19</v>
      </c>
      <c r="G68" s="2">
        <v>0.80375099999999999</v>
      </c>
      <c r="H68" s="2">
        <v>20</v>
      </c>
      <c r="I68" s="2">
        <v>0.79312800000000006</v>
      </c>
      <c r="J68" s="2">
        <v>19.353101760331398</v>
      </c>
      <c r="K68" s="2">
        <v>106</v>
      </c>
      <c r="L68" s="2">
        <v>0.80946399999999996</v>
      </c>
      <c r="M68" s="2">
        <v>107</v>
      </c>
      <c r="N68" s="2">
        <v>0.79589900000000002</v>
      </c>
      <c r="O68" s="2">
        <v>106.697677847401</v>
      </c>
      <c r="P68" s="2">
        <v>87</v>
      </c>
      <c r="Q68" s="2">
        <v>87.344576087069996</v>
      </c>
    </row>
    <row r="69" spans="1:21">
      <c r="A69" t="s">
        <v>20</v>
      </c>
      <c r="C69" s="1">
        <v>0</v>
      </c>
      <c r="D69" s="2">
        <v>1</v>
      </c>
      <c r="E69" s="2">
        <v>0</v>
      </c>
      <c r="F69" s="2">
        <v>17</v>
      </c>
      <c r="G69" s="2">
        <v>0.80498599999999998</v>
      </c>
      <c r="H69" s="2">
        <v>18</v>
      </c>
      <c r="I69" s="2">
        <v>0.79419899999999999</v>
      </c>
      <c r="J69" s="2">
        <v>17.4622230462594</v>
      </c>
      <c r="K69" s="2">
        <v>115</v>
      </c>
      <c r="L69" s="2">
        <v>0.80608100000000005</v>
      </c>
      <c r="M69" s="2">
        <v>116</v>
      </c>
      <c r="N69" s="2">
        <v>0.79342199999999996</v>
      </c>
      <c r="O69" s="2">
        <v>115.480369697448</v>
      </c>
      <c r="P69" s="2">
        <v>98</v>
      </c>
      <c r="Q69" s="2">
        <v>98.018146651189099</v>
      </c>
    </row>
    <row r="70" spans="1:21">
      <c r="A70" t="s">
        <v>20</v>
      </c>
      <c r="C70" s="1">
        <v>0</v>
      </c>
      <c r="D70" s="2">
        <v>1</v>
      </c>
      <c r="E70" s="2">
        <v>0</v>
      </c>
      <c r="F70" s="2">
        <v>14</v>
      </c>
      <c r="G70" s="2">
        <v>0.80460200000000004</v>
      </c>
      <c r="H70" s="2">
        <v>15</v>
      </c>
      <c r="I70" s="2">
        <v>0.78834499999999996</v>
      </c>
      <c r="J70" s="2">
        <v>14.283078058682401</v>
      </c>
      <c r="K70" s="2">
        <v>114</v>
      </c>
      <c r="L70" s="2">
        <v>0.80522899999999997</v>
      </c>
      <c r="M70" s="2">
        <v>115</v>
      </c>
      <c r="N70" s="2">
        <v>0.79265399999999997</v>
      </c>
      <c r="O70" s="2">
        <v>114.41582504970199</v>
      </c>
      <c r="P70" s="2">
        <v>100</v>
      </c>
      <c r="Q70" s="2">
        <v>100.132746991019</v>
      </c>
    </row>
    <row r="71" spans="1:21">
      <c r="A71" t="s">
        <v>20</v>
      </c>
      <c r="C71" s="1">
        <v>0</v>
      </c>
      <c r="D71" s="2">
        <v>1</v>
      </c>
      <c r="E71" s="2">
        <v>0</v>
      </c>
      <c r="F71" s="2">
        <v>19</v>
      </c>
      <c r="G71" s="2">
        <v>0.80062199999999994</v>
      </c>
      <c r="H71" s="2">
        <v>20</v>
      </c>
      <c r="I71" s="2">
        <v>0.78619899999999998</v>
      </c>
      <c r="J71" s="2">
        <v>19.0431255633363</v>
      </c>
      <c r="K71" s="2">
        <v>112</v>
      </c>
      <c r="L71" s="2">
        <v>0.80645199999999995</v>
      </c>
      <c r="M71" s="2">
        <v>113</v>
      </c>
      <c r="N71" s="2">
        <v>0.796983</v>
      </c>
      <c r="O71" s="2">
        <v>112.68138134966701</v>
      </c>
      <c r="P71" s="2">
        <v>93</v>
      </c>
      <c r="Q71" s="2">
        <v>93.638255786331001</v>
      </c>
    </row>
    <row r="72" spans="1:21">
      <c r="A72" t="s">
        <v>20</v>
      </c>
      <c r="C72" s="1">
        <v>0</v>
      </c>
      <c r="D72" s="2">
        <v>1</v>
      </c>
      <c r="E72" s="2">
        <v>0</v>
      </c>
      <c r="F72" s="2">
        <v>21</v>
      </c>
      <c r="G72" s="2">
        <v>0.80862199999999995</v>
      </c>
      <c r="H72" s="2">
        <v>22</v>
      </c>
      <c r="I72" s="2">
        <v>0.79602499999999998</v>
      </c>
      <c r="J72" s="2">
        <v>21.6844486782567</v>
      </c>
      <c r="K72" s="2">
        <v>112</v>
      </c>
      <c r="L72" s="2">
        <v>0.81294999999999995</v>
      </c>
      <c r="M72" s="2">
        <v>113</v>
      </c>
      <c r="N72" s="2">
        <v>0.79870300000000005</v>
      </c>
      <c r="O72" s="2">
        <v>112.90896329051699</v>
      </c>
      <c r="P72" s="2">
        <v>91</v>
      </c>
      <c r="Q72" s="2">
        <v>91.224514612260606</v>
      </c>
    </row>
    <row r="73" spans="1:21">
      <c r="A73" t="s">
        <v>20</v>
      </c>
      <c r="C73" s="1">
        <v>0</v>
      </c>
      <c r="D73" s="2">
        <v>1</v>
      </c>
      <c r="E73" s="2">
        <v>0</v>
      </c>
      <c r="F73" s="2">
        <v>22</v>
      </c>
      <c r="G73" s="2">
        <v>0.80754499999999996</v>
      </c>
      <c r="H73" s="2">
        <v>23</v>
      </c>
      <c r="I73" s="2">
        <v>0.79659000000000002</v>
      </c>
      <c r="J73" s="2">
        <v>22.688726608854399</v>
      </c>
      <c r="K73" s="2">
        <v>114</v>
      </c>
      <c r="L73" s="2">
        <v>0.80169599999999996</v>
      </c>
      <c r="M73" s="2">
        <v>115</v>
      </c>
      <c r="N73" s="2">
        <v>0.79605700000000001</v>
      </c>
      <c r="O73" s="2">
        <v>114.300762546551</v>
      </c>
      <c r="P73" s="2">
        <v>92</v>
      </c>
      <c r="Q73" s="2">
        <v>91.612035937696405</v>
      </c>
    </row>
    <row r="74" spans="1:21">
      <c r="A74" t="s">
        <v>20</v>
      </c>
      <c r="C74" s="1">
        <v>0</v>
      </c>
      <c r="D74" s="2">
        <v>1</v>
      </c>
      <c r="E74" s="2">
        <v>0</v>
      </c>
      <c r="F74" s="2">
        <v>20</v>
      </c>
      <c r="G74" s="2">
        <v>0.80006999999999995</v>
      </c>
      <c r="H74" s="2">
        <v>21</v>
      </c>
      <c r="I74" s="2">
        <v>0.78413900000000003</v>
      </c>
      <c r="J74" s="2">
        <v>20.0043939489046</v>
      </c>
      <c r="K74" s="2">
        <v>122</v>
      </c>
      <c r="L74" s="2">
        <v>0.80062900000000004</v>
      </c>
      <c r="M74" s="2">
        <v>123</v>
      </c>
      <c r="N74" s="2">
        <v>0.79176000000000002</v>
      </c>
      <c r="O74" s="2">
        <v>122.070921186154</v>
      </c>
      <c r="P74" s="2">
        <v>102</v>
      </c>
      <c r="Q74" s="2">
        <v>102.06652723724901</v>
      </c>
    </row>
    <row r="75" spans="1:21">
      <c r="A75" t="s">
        <v>20</v>
      </c>
      <c r="C75" s="1">
        <v>0</v>
      </c>
      <c r="D75" s="2">
        <v>1</v>
      </c>
      <c r="E75" s="2">
        <v>0</v>
      </c>
      <c r="F75" s="2">
        <v>20</v>
      </c>
      <c r="G75" s="2">
        <v>0.804867</v>
      </c>
      <c r="H75" s="2">
        <v>21</v>
      </c>
      <c r="I75" s="2">
        <v>0.79592600000000002</v>
      </c>
      <c r="J75" s="2">
        <v>20.5443462699922</v>
      </c>
      <c r="K75" s="2">
        <v>117</v>
      </c>
      <c r="L75" s="2">
        <v>0.80137999999999998</v>
      </c>
      <c r="M75" s="2">
        <v>118</v>
      </c>
      <c r="N75" s="2">
        <v>0.79443299999999994</v>
      </c>
      <c r="O75" s="2">
        <v>117.198646897942</v>
      </c>
      <c r="P75" s="2">
        <v>97</v>
      </c>
      <c r="Q75" s="2">
        <v>96.654300627949397</v>
      </c>
    </row>
    <row r="76" spans="1:21">
      <c r="A76" t="s">
        <v>20</v>
      </c>
      <c r="C76" s="1">
        <v>0</v>
      </c>
      <c r="D76" s="2">
        <v>1</v>
      </c>
      <c r="E76" s="2">
        <v>0</v>
      </c>
      <c r="F76" s="2">
        <v>28</v>
      </c>
      <c r="G76" s="2">
        <v>0.808388</v>
      </c>
      <c r="H76" s="2">
        <v>29</v>
      </c>
      <c r="I76" s="2">
        <v>0.799709</v>
      </c>
      <c r="J76" s="2">
        <v>28.966470791565801</v>
      </c>
      <c r="K76" s="2">
        <v>117</v>
      </c>
      <c r="L76" s="2">
        <v>0.80083199999999999</v>
      </c>
      <c r="M76" s="2">
        <v>118</v>
      </c>
      <c r="N76" s="2">
        <v>0.79403699999999999</v>
      </c>
      <c r="O76" s="2">
        <v>117.122442972774</v>
      </c>
      <c r="P76" s="2">
        <v>89</v>
      </c>
      <c r="Q76" s="2">
        <v>88.155972181208298</v>
      </c>
    </row>
    <row r="77" spans="1:21">
      <c r="A77" t="s">
        <v>20</v>
      </c>
      <c r="C77" s="1">
        <v>0</v>
      </c>
      <c r="D77" s="2">
        <v>1</v>
      </c>
      <c r="E77" s="2">
        <v>0</v>
      </c>
      <c r="F77" s="2">
        <v>18</v>
      </c>
      <c r="G77" s="2">
        <v>0.80402600000000002</v>
      </c>
      <c r="H77" s="2">
        <v>19</v>
      </c>
      <c r="I77" s="2">
        <v>0.78938200000000003</v>
      </c>
      <c r="J77" s="2">
        <v>18.274924883911499</v>
      </c>
      <c r="K77" s="2">
        <v>121</v>
      </c>
      <c r="L77" s="2">
        <v>0.80626399999999998</v>
      </c>
      <c r="M77" s="2">
        <v>122</v>
      </c>
      <c r="N77" s="2">
        <v>0.79882500000000001</v>
      </c>
      <c r="O77" s="2">
        <v>121.842048662455</v>
      </c>
      <c r="P77" s="2">
        <v>103</v>
      </c>
      <c r="Q77" s="2">
        <v>103.56712377854301</v>
      </c>
    </row>
    <row r="78" spans="1:21">
      <c r="A78" t="s">
        <v>20</v>
      </c>
      <c r="C78" s="1">
        <v>0</v>
      </c>
      <c r="D78" s="2">
        <v>1</v>
      </c>
      <c r="E78" s="2">
        <v>0</v>
      </c>
      <c r="F78" s="2">
        <v>27</v>
      </c>
      <c r="G78" s="2">
        <v>0.80846300000000004</v>
      </c>
      <c r="H78" s="2">
        <v>28</v>
      </c>
      <c r="I78" s="2">
        <v>0.79526699999999995</v>
      </c>
      <c r="J78" s="2">
        <v>27.641330706274601</v>
      </c>
      <c r="K78" s="2">
        <v>120</v>
      </c>
      <c r="L78" s="2">
        <v>0.80595099999999997</v>
      </c>
      <c r="M78" s="2">
        <v>121</v>
      </c>
      <c r="N78" s="2">
        <v>0.78707899999999997</v>
      </c>
      <c r="O78" s="2">
        <v>120.31533488766399</v>
      </c>
      <c r="P78" s="2">
        <v>93</v>
      </c>
      <c r="Q78" s="2">
        <v>92.674004181389705</v>
      </c>
    </row>
    <row r="79" spans="1:21">
      <c r="A79" t="s">
        <v>20</v>
      </c>
      <c r="C79" s="1">
        <v>0</v>
      </c>
      <c r="D79" s="2">
        <v>1</v>
      </c>
      <c r="E79" s="2">
        <v>0</v>
      </c>
      <c r="F79" s="2">
        <v>20</v>
      </c>
      <c r="G79" s="2">
        <v>0.80318100000000003</v>
      </c>
      <c r="H79" s="2">
        <v>21</v>
      </c>
      <c r="I79" s="2">
        <v>0.79681000000000002</v>
      </c>
      <c r="J79" s="2">
        <v>20.4992936744624</v>
      </c>
      <c r="K79" s="2">
        <v>121</v>
      </c>
      <c r="L79" s="2">
        <v>0.80185399999999996</v>
      </c>
      <c r="M79" s="2">
        <v>122</v>
      </c>
      <c r="N79" s="2">
        <v>0.79666599999999999</v>
      </c>
      <c r="O79" s="2">
        <v>121.357363145721</v>
      </c>
      <c r="P79" s="2">
        <v>101</v>
      </c>
      <c r="Q79" s="2">
        <v>100.85806947125801</v>
      </c>
    </row>
    <row r="80" spans="1:21">
      <c r="A80" t="s">
        <v>20</v>
      </c>
      <c r="C80" s="1">
        <v>0</v>
      </c>
      <c r="D80" s="2">
        <v>1</v>
      </c>
      <c r="E80" s="2">
        <v>0</v>
      </c>
      <c r="F80" s="2">
        <v>22</v>
      </c>
      <c r="G80" s="2">
        <v>0.81340999999999997</v>
      </c>
      <c r="H80" s="2">
        <v>23</v>
      </c>
      <c r="I80" s="2">
        <v>0.79089399999999999</v>
      </c>
      <c r="J80" s="2">
        <v>22.595576478948299</v>
      </c>
      <c r="K80" s="2">
        <v>126</v>
      </c>
      <c r="L80" s="2">
        <v>0.81371000000000004</v>
      </c>
      <c r="M80" s="2">
        <v>127</v>
      </c>
      <c r="N80" s="2">
        <v>0.79674800000000001</v>
      </c>
      <c r="O80" s="2">
        <v>126.808277325787</v>
      </c>
      <c r="P80" s="2">
        <v>104</v>
      </c>
      <c r="Q80" s="2">
        <v>104.212700846839</v>
      </c>
    </row>
    <row r="81" spans="1:17">
      <c r="A81" t="s">
        <v>20</v>
      </c>
      <c r="C81" s="1">
        <v>0</v>
      </c>
      <c r="D81" s="2">
        <v>1</v>
      </c>
      <c r="E81" s="2">
        <v>0</v>
      </c>
      <c r="F81" s="2">
        <v>26</v>
      </c>
      <c r="G81" s="2">
        <v>0.80234399999999995</v>
      </c>
      <c r="H81" s="2">
        <v>27</v>
      </c>
      <c r="I81" s="2">
        <v>0.79272100000000001</v>
      </c>
      <c r="J81" s="2">
        <v>26.243583082198899</v>
      </c>
      <c r="K81" s="2">
        <v>123</v>
      </c>
      <c r="L81" s="2">
        <v>0.80840599999999996</v>
      </c>
      <c r="M81" s="2">
        <v>124</v>
      </c>
      <c r="N81" s="2">
        <v>0.78807199999999999</v>
      </c>
      <c r="O81" s="2">
        <v>123.413396282089</v>
      </c>
      <c r="P81" s="2">
        <v>97</v>
      </c>
      <c r="Q81" s="2">
        <v>97.1698131998902</v>
      </c>
    </row>
    <row r="82" spans="1:17">
      <c r="A82" t="s">
        <v>20</v>
      </c>
      <c r="C82" s="1">
        <v>0</v>
      </c>
      <c r="D82" s="2">
        <v>1</v>
      </c>
      <c r="E82" s="2">
        <v>0</v>
      </c>
      <c r="F82" s="2">
        <v>34</v>
      </c>
      <c r="G82" s="2">
        <v>0.80386000000000002</v>
      </c>
      <c r="H82" s="2">
        <v>35</v>
      </c>
      <c r="I82" s="2">
        <v>0.799759</v>
      </c>
      <c r="J82" s="2">
        <v>34.941233845403602</v>
      </c>
      <c r="K82" s="2">
        <v>115</v>
      </c>
      <c r="L82" s="2">
        <v>0.809639</v>
      </c>
      <c r="M82" s="2">
        <v>116</v>
      </c>
      <c r="N82" s="2">
        <v>0.79778400000000005</v>
      </c>
      <c r="O82" s="2">
        <v>115.813074652046</v>
      </c>
      <c r="P82" s="2">
        <v>81</v>
      </c>
      <c r="Q82" s="2">
        <v>80.871840806641998</v>
      </c>
    </row>
    <row r="83" spans="1:17">
      <c r="A83" t="s">
        <v>20</v>
      </c>
      <c r="C83" s="1">
        <v>0</v>
      </c>
      <c r="D83" s="2">
        <v>1</v>
      </c>
      <c r="E83" s="2">
        <v>0</v>
      </c>
      <c r="F83" s="2">
        <v>23</v>
      </c>
      <c r="G83" s="2">
        <v>0.80358200000000002</v>
      </c>
      <c r="H83" s="2">
        <v>24</v>
      </c>
      <c r="I83" s="2">
        <v>0.79135100000000003</v>
      </c>
      <c r="J83" s="2">
        <v>23.292862398822699</v>
      </c>
      <c r="K83" s="2">
        <v>125</v>
      </c>
      <c r="L83" s="2">
        <v>0.80064199999999996</v>
      </c>
      <c r="M83" s="2">
        <v>126</v>
      </c>
      <c r="N83" s="2">
        <v>0.79881500000000005</v>
      </c>
      <c r="O83" s="2">
        <v>125.351395730706</v>
      </c>
      <c r="P83" s="2">
        <v>102</v>
      </c>
      <c r="Q83" s="2">
        <v>102.058533331883</v>
      </c>
    </row>
    <row r="84" spans="1:17">
      <c r="A84" t="s">
        <v>20</v>
      </c>
      <c r="C84" s="1">
        <v>0</v>
      </c>
      <c r="D84" s="2">
        <v>1</v>
      </c>
      <c r="E84" s="2">
        <v>0</v>
      </c>
      <c r="F84" s="2">
        <v>20</v>
      </c>
      <c r="G84" s="2">
        <v>0.80159100000000005</v>
      </c>
      <c r="H84" s="2">
        <v>21</v>
      </c>
      <c r="I84" s="2">
        <v>0.79412099999999997</v>
      </c>
      <c r="J84" s="2">
        <v>20.212985274431102</v>
      </c>
      <c r="K84" s="2">
        <v>127</v>
      </c>
      <c r="L84" s="2">
        <v>0.80553900000000001</v>
      </c>
      <c r="M84" s="2">
        <v>128</v>
      </c>
      <c r="N84" s="2">
        <v>0.79628299999999996</v>
      </c>
      <c r="O84" s="2">
        <v>127.59842264477101</v>
      </c>
      <c r="P84" s="2">
        <v>107</v>
      </c>
      <c r="Q84" s="2">
        <v>107.38543737034</v>
      </c>
    </row>
    <row r="85" spans="1:17">
      <c r="A85" t="s">
        <v>20</v>
      </c>
      <c r="C85" s="1">
        <v>0</v>
      </c>
      <c r="D85" s="2">
        <v>1</v>
      </c>
      <c r="E85" s="2">
        <v>0</v>
      </c>
      <c r="F85" s="2">
        <v>17</v>
      </c>
      <c r="G85" s="2">
        <v>0.81724699999999995</v>
      </c>
      <c r="H85" s="2">
        <v>18</v>
      </c>
      <c r="I85" s="2">
        <v>0.79777500000000001</v>
      </c>
      <c r="J85" s="2">
        <v>17.885733360723101</v>
      </c>
      <c r="K85" s="2">
        <v>125</v>
      </c>
      <c r="L85" s="2">
        <v>0.80564400000000003</v>
      </c>
      <c r="M85" s="2">
        <v>126</v>
      </c>
      <c r="N85" s="2">
        <v>0.79341099999999998</v>
      </c>
      <c r="O85" s="2">
        <v>125.461374969345</v>
      </c>
      <c r="P85" s="2">
        <v>108</v>
      </c>
      <c r="Q85" s="2">
        <v>107.57564160862201</v>
      </c>
    </row>
    <row r="86" spans="1:17">
      <c r="A86" t="s">
        <v>20</v>
      </c>
      <c r="C86" s="1">
        <v>0</v>
      </c>
      <c r="D86" s="2">
        <v>1</v>
      </c>
      <c r="E86" s="2">
        <v>0</v>
      </c>
      <c r="F86" s="2">
        <v>22</v>
      </c>
      <c r="G86" s="2">
        <v>0.80483499999999997</v>
      </c>
      <c r="H86" s="2">
        <v>23</v>
      </c>
      <c r="I86" s="2">
        <v>0.79358600000000001</v>
      </c>
      <c r="J86" s="2">
        <v>22.429815983643</v>
      </c>
      <c r="K86" s="2">
        <v>130</v>
      </c>
      <c r="L86" s="2">
        <v>0.80292600000000003</v>
      </c>
      <c r="M86" s="2">
        <v>131</v>
      </c>
      <c r="N86" s="2">
        <v>0.79410400000000003</v>
      </c>
      <c r="O86" s="2">
        <v>130.33167082294301</v>
      </c>
      <c r="P86" s="2">
        <v>108</v>
      </c>
      <c r="Q86" s="2">
        <v>107.9018548393</v>
      </c>
    </row>
    <row r="87" spans="1:17">
      <c r="A87" t="s">
        <v>20</v>
      </c>
      <c r="C87" s="1">
        <v>0</v>
      </c>
      <c r="D87" s="2">
        <v>1</v>
      </c>
      <c r="E87" s="2">
        <v>0</v>
      </c>
      <c r="F87" s="2">
        <v>20</v>
      </c>
      <c r="G87" s="2">
        <v>0.80577799999999999</v>
      </c>
      <c r="H87" s="2">
        <v>21</v>
      </c>
      <c r="I87" s="2">
        <v>0.79956700000000003</v>
      </c>
      <c r="J87" s="2">
        <v>20.9302849782644</v>
      </c>
      <c r="K87" s="2">
        <v>129</v>
      </c>
      <c r="L87" s="2">
        <v>0.80177900000000002</v>
      </c>
      <c r="M87" s="2">
        <v>130</v>
      </c>
      <c r="N87" s="2">
        <v>0.79144700000000001</v>
      </c>
      <c r="O87" s="2">
        <v>129.17218350754899</v>
      </c>
      <c r="P87" s="2">
        <v>109</v>
      </c>
      <c r="Q87" s="2">
        <v>108.241898529285</v>
      </c>
    </row>
    <row r="88" spans="1:17">
      <c r="A88" t="s">
        <v>20</v>
      </c>
      <c r="C88" s="1">
        <v>0</v>
      </c>
      <c r="D88" s="2">
        <v>1</v>
      </c>
      <c r="E88" s="2">
        <v>0</v>
      </c>
      <c r="F88" s="2">
        <v>26</v>
      </c>
      <c r="G88" s="2">
        <v>0.80293599999999998</v>
      </c>
      <c r="H88" s="2">
        <v>27</v>
      </c>
      <c r="I88" s="2">
        <v>0.79049999999999998</v>
      </c>
      <c r="J88" s="2">
        <v>26.236088774525602</v>
      </c>
      <c r="K88" s="2">
        <v>131</v>
      </c>
      <c r="L88" s="2">
        <v>0.801705</v>
      </c>
      <c r="M88" s="2">
        <v>132</v>
      </c>
      <c r="N88" s="2">
        <v>0.79393899999999995</v>
      </c>
      <c r="O88" s="2">
        <v>131.21954674221001</v>
      </c>
      <c r="P88" s="2">
        <v>105</v>
      </c>
      <c r="Q88" s="2">
        <v>104.983457967684</v>
      </c>
    </row>
    <row r="89" spans="1:17">
      <c r="A89" t="s">
        <v>20</v>
      </c>
      <c r="C89" s="1">
        <v>0</v>
      </c>
      <c r="D89" s="2">
        <v>1</v>
      </c>
      <c r="E89" s="2">
        <v>0</v>
      </c>
      <c r="F89" s="2">
        <v>25</v>
      </c>
      <c r="G89" s="2">
        <v>0.80166899999999996</v>
      </c>
      <c r="H89" s="2">
        <v>26</v>
      </c>
      <c r="I89" s="2">
        <v>0.79397499999999999</v>
      </c>
      <c r="J89" s="2">
        <v>25.216922277098998</v>
      </c>
      <c r="K89" s="2">
        <v>128</v>
      </c>
      <c r="L89" s="2">
        <v>0.80044800000000005</v>
      </c>
      <c r="M89" s="2">
        <v>129</v>
      </c>
      <c r="N89" s="2">
        <v>0.78365499999999999</v>
      </c>
      <c r="O89" s="2">
        <v>128.026677782409</v>
      </c>
      <c r="P89" s="2">
        <v>103</v>
      </c>
      <c r="Q89" s="2">
        <v>102.80975550530999</v>
      </c>
    </row>
    <row r="90" spans="1:17">
      <c r="A90" t="s">
        <v>20</v>
      </c>
      <c r="C90" s="1">
        <v>0</v>
      </c>
      <c r="D90" s="2">
        <v>1</v>
      </c>
      <c r="E90" s="2">
        <v>0</v>
      </c>
      <c r="F90" s="2">
        <v>21</v>
      </c>
      <c r="G90" s="2">
        <v>0.80688199999999999</v>
      </c>
      <c r="H90" s="2">
        <v>22</v>
      </c>
      <c r="I90" s="2">
        <v>0.79774400000000001</v>
      </c>
      <c r="J90" s="2">
        <v>21.753118844386101</v>
      </c>
      <c r="K90" s="2">
        <v>135</v>
      </c>
      <c r="L90" s="2">
        <v>0.80662299999999998</v>
      </c>
      <c r="M90" s="2">
        <v>136</v>
      </c>
      <c r="N90" s="2">
        <v>0.790987</v>
      </c>
      <c r="O90" s="2">
        <v>135.42357380404201</v>
      </c>
      <c r="P90" s="2">
        <v>114</v>
      </c>
      <c r="Q90" s="2">
        <v>113.670454959656</v>
      </c>
    </row>
    <row r="91" spans="1:17">
      <c r="A91" t="s">
        <v>20</v>
      </c>
      <c r="C91" s="1">
        <v>0</v>
      </c>
      <c r="D91" s="2">
        <v>1</v>
      </c>
      <c r="E91" s="2">
        <v>0</v>
      </c>
      <c r="F91" s="2">
        <v>20</v>
      </c>
      <c r="G91" s="2">
        <v>0.80987500000000001</v>
      </c>
      <c r="H91" s="2">
        <v>21</v>
      </c>
      <c r="I91" s="2">
        <v>0.79501500000000003</v>
      </c>
      <c r="J91" s="2">
        <v>20.664535666218001</v>
      </c>
      <c r="K91" s="2">
        <v>136</v>
      </c>
      <c r="L91" s="2">
        <v>0.80629099999999998</v>
      </c>
      <c r="M91" s="2">
        <v>137</v>
      </c>
      <c r="N91" s="2">
        <v>0.79547400000000001</v>
      </c>
      <c r="O91" s="2">
        <v>136.58158454284899</v>
      </c>
      <c r="P91" s="2">
        <v>116</v>
      </c>
      <c r="Q91" s="2">
        <v>115.917048876631</v>
      </c>
    </row>
    <row r="92" spans="1:17">
      <c r="A92" t="s">
        <v>20</v>
      </c>
      <c r="C92" s="1">
        <v>0</v>
      </c>
      <c r="D92" s="2">
        <v>1</v>
      </c>
      <c r="E92" s="2">
        <v>0</v>
      </c>
      <c r="F92" s="2">
        <v>25</v>
      </c>
      <c r="G92" s="2">
        <v>0.80863200000000002</v>
      </c>
      <c r="H92" s="2">
        <v>26</v>
      </c>
      <c r="I92" s="2">
        <v>0.79717400000000005</v>
      </c>
      <c r="J92" s="2">
        <v>25.753360097748299</v>
      </c>
      <c r="K92" s="2">
        <v>134</v>
      </c>
      <c r="L92" s="2">
        <v>0.80588599999999999</v>
      </c>
      <c r="M92" s="2">
        <v>135</v>
      </c>
      <c r="N92" s="2">
        <v>0.79696900000000004</v>
      </c>
      <c r="O92" s="2">
        <v>134.660087473365</v>
      </c>
      <c r="P92" s="2">
        <v>109</v>
      </c>
      <c r="Q92" s="2">
        <v>108.906727375617</v>
      </c>
    </row>
    <row r="93" spans="1:17">
      <c r="A93" t="s">
        <v>20</v>
      </c>
      <c r="C93" s="1">
        <v>0</v>
      </c>
      <c r="D93" s="2">
        <v>1</v>
      </c>
      <c r="E93" s="2">
        <v>0</v>
      </c>
      <c r="F93" s="2">
        <v>23</v>
      </c>
      <c r="G93" s="2">
        <v>0.81736900000000001</v>
      </c>
      <c r="H93" s="2">
        <v>24</v>
      </c>
      <c r="I93" s="2">
        <v>0.79640200000000005</v>
      </c>
      <c r="J93" s="2">
        <v>23.828397004817099</v>
      </c>
      <c r="K93" s="2">
        <v>138</v>
      </c>
      <c r="L93" s="2">
        <v>0.80201599999999995</v>
      </c>
      <c r="M93" s="2">
        <v>139</v>
      </c>
      <c r="N93" s="2">
        <v>0.79601299999999997</v>
      </c>
      <c r="O93" s="2">
        <v>138.335832083958</v>
      </c>
      <c r="P93" s="2">
        <v>115</v>
      </c>
      <c r="Q93" s="2">
        <v>114.507435079141</v>
      </c>
    </row>
    <row r="94" spans="1:17">
      <c r="A94" t="s">
        <v>20</v>
      </c>
      <c r="C94" s="1">
        <v>0</v>
      </c>
      <c r="D94" s="2">
        <v>1</v>
      </c>
      <c r="E94" s="2">
        <v>0</v>
      </c>
      <c r="F94" s="2">
        <v>21</v>
      </c>
      <c r="G94" s="2">
        <v>0.806701</v>
      </c>
      <c r="H94" s="2">
        <v>22</v>
      </c>
      <c r="I94" s="2">
        <v>0.79702899999999999</v>
      </c>
      <c r="J94" s="2">
        <v>21.692824648469799</v>
      </c>
      <c r="K94" s="2">
        <v>140</v>
      </c>
      <c r="L94" s="2">
        <v>0.80191999999999997</v>
      </c>
      <c r="M94" s="2">
        <v>141</v>
      </c>
      <c r="N94" s="2">
        <v>0.78615100000000004</v>
      </c>
      <c r="O94" s="2">
        <v>140.12175787938401</v>
      </c>
      <c r="P94" s="2">
        <v>119</v>
      </c>
      <c r="Q94" s="2">
        <v>118.428933230914</v>
      </c>
    </row>
    <row r="95" spans="1:17">
      <c r="A95" t="s">
        <v>20</v>
      </c>
      <c r="C95" s="1">
        <v>0</v>
      </c>
      <c r="D95" s="2">
        <v>1</v>
      </c>
      <c r="E95" s="2">
        <v>0</v>
      </c>
      <c r="F95" s="2">
        <v>20</v>
      </c>
      <c r="G95" s="2">
        <v>0.81835800000000003</v>
      </c>
      <c r="H95" s="2">
        <v>21</v>
      </c>
      <c r="I95" s="2">
        <v>0.79867299999999997</v>
      </c>
      <c r="J95" s="2">
        <v>20.932588265176499</v>
      </c>
      <c r="K95" s="2">
        <v>143</v>
      </c>
      <c r="L95" s="2">
        <v>0.80449800000000005</v>
      </c>
      <c r="M95" s="2">
        <v>144</v>
      </c>
      <c r="N95" s="2">
        <v>0.79079699999999997</v>
      </c>
      <c r="O95" s="2">
        <v>143.328297204584</v>
      </c>
      <c r="P95" s="2">
        <v>123</v>
      </c>
      <c r="Q95" s="2">
        <v>122.395708939407</v>
      </c>
    </row>
    <row r="96" spans="1:17">
      <c r="A96" t="s">
        <v>20</v>
      </c>
      <c r="C96" s="1">
        <v>0</v>
      </c>
      <c r="D96" s="2">
        <v>1</v>
      </c>
      <c r="E96" s="2">
        <v>0</v>
      </c>
      <c r="F96" s="2">
        <v>22</v>
      </c>
      <c r="G96" s="2">
        <v>0.80949000000000004</v>
      </c>
      <c r="H96" s="2">
        <v>23</v>
      </c>
      <c r="I96" s="2">
        <v>0.798736</v>
      </c>
      <c r="J96" s="2">
        <v>22.8824623395946</v>
      </c>
      <c r="K96" s="2">
        <v>145</v>
      </c>
      <c r="L96" s="2">
        <v>0.80044800000000005</v>
      </c>
      <c r="M96" s="2">
        <v>146</v>
      </c>
      <c r="N96" s="2">
        <v>0.79474900000000004</v>
      </c>
      <c r="O96" s="2">
        <v>145.07861028250599</v>
      </c>
      <c r="P96" s="2">
        <v>123</v>
      </c>
      <c r="Q96" s="2">
        <v>122.196147942911</v>
      </c>
    </row>
    <row r="97" spans="1:17">
      <c r="A97" t="s">
        <v>20</v>
      </c>
      <c r="C97" s="1">
        <v>0</v>
      </c>
      <c r="D97" s="2">
        <v>1</v>
      </c>
      <c r="E97" s="2">
        <v>0</v>
      </c>
      <c r="F97" s="2">
        <v>20</v>
      </c>
      <c r="G97" s="2">
        <v>0.80119700000000005</v>
      </c>
      <c r="H97" s="2">
        <v>21</v>
      </c>
      <c r="I97" s="2">
        <v>0.79383700000000001</v>
      </c>
      <c r="J97" s="2">
        <v>20.1626358695652</v>
      </c>
      <c r="K97" s="2">
        <v>112</v>
      </c>
      <c r="L97" s="2">
        <v>0.81603899999999996</v>
      </c>
      <c r="M97" s="2">
        <v>113</v>
      </c>
      <c r="N97" s="2">
        <v>0.79598800000000003</v>
      </c>
      <c r="O97" s="2">
        <v>112.799910228916</v>
      </c>
      <c r="P97" s="2">
        <v>92</v>
      </c>
      <c r="Q97" s="2">
        <v>92.637274359350997</v>
      </c>
    </row>
    <row r="98" spans="1:17">
      <c r="A98" t="s">
        <v>20</v>
      </c>
      <c r="C98" s="1">
        <v>0</v>
      </c>
      <c r="D98" s="2">
        <v>1</v>
      </c>
      <c r="E98" s="2">
        <v>0</v>
      </c>
      <c r="F98" s="2">
        <v>21</v>
      </c>
      <c r="G98" s="2">
        <v>0.80245999999999995</v>
      </c>
      <c r="H98" s="2">
        <v>22</v>
      </c>
      <c r="I98" s="2">
        <v>0.79190899999999997</v>
      </c>
      <c r="J98" s="2">
        <v>21.233153255615601</v>
      </c>
      <c r="K98" s="2">
        <v>103</v>
      </c>
      <c r="L98" s="2">
        <v>0.80014300000000005</v>
      </c>
      <c r="M98" s="2">
        <v>104</v>
      </c>
      <c r="N98" s="2">
        <v>0.78600700000000001</v>
      </c>
      <c r="O98" s="2">
        <v>103.01011601584599</v>
      </c>
      <c r="P98" s="2">
        <v>82</v>
      </c>
      <c r="Q98" s="2">
        <v>81.776962760230504</v>
      </c>
    </row>
    <row r="99" spans="1:17">
      <c r="A99" t="s">
        <v>20</v>
      </c>
      <c r="C99" s="1">
        <v>0</v>
      </c>
      <c r="D99" s="2">
        <v>1</v>
      </c>
      <c r="E99" s="2">
        <v>0</v>
      </c>
      <c r="F99" s="2">
        <v>23</v>
      </c>
      <c r="G99" s="2">
        <v>0.80034000000000005</v>
      </c>
      <c r="H99" s="2">
        <v>24</v>
      </c>
      <c r="I99" s="2">
        <v>0.79819600000000002</v>
      </c>
      <c r="J99" s="2">
        <v>23.158582089552201</v>
      </c>
      <c r="K99" s="2">
        <v>109</v>
      </c>
      <c r="L99" s="2">
        <v>0.81683499999999998</v>
      </c>
      <c r="M99" s="2">
        <v>110</v>
      </c>
      <c r="N99" s="2">
        <v>0.79878000000000005</v>
      </c>
      <c r="O99" s="2">
        <v>109.93242869011399</v>
      </c>
      <c r="P99" s="2">
        <v>86</v>
      </c>
      <c r="Q99" s="2">
        <v>86.773846600561299</v>
      </c>
    </row>
    <row r="100" spans="1:17">
      <c r="A100" t="s">
        <v>20</v>
      </c>
      <c r="C100" s="1">
        <v>0</v>
      </c>
      <c r="D100" s="2">
        <v>1</v>
      </c>
      <c r="E100" s="2">
        <v>0</v>
      </c>
      <c r="F100" s="2">
        <v>15</v>
      </c>
      <c r="G100" s="2">
        <v>0.81062900000000004</v>
      </c>
      <c r="H100" s="2">
        <v>16</v>
      </c>
      <c r="I100" s="2">
        <v>0.796516</v>
      </c>
      <c r="J100" s="2">
        <v>15.7531354070715</v>
      </c>
      <c r="K100" s="2">
        <v>108</v>
      </c>
      <c r="L100" s="2">
        <v>0.80126799999999998</v>
      </c>
      <c r="M100" s="2">
        <v>109</v>
      </c>
      <c r="N100" s="2">
        <v>0.78986000000000001</v>
      </c>
      <c r="O100" s="2">
        <v>108.111150070126</v>
      </c>
      <c r="P100" s="2">
        <v>93</v>
      </c>
      <c r="Q100" s="2">
        <v>92.358014663054703</v>
      </c>
    </row>
    <row r="101" spans="1:17">
      <c r="A101" t="s">
        <v>20</v>
      </c>
      <c r="C101" s="1">
        <v>0</v>
      </c>
      <c r="D101" s="2">
        <v>1</v>
      </c>
      <c r="E101" s="2">
        <v>0</v>
      </c>
      <c r="F101" s="2">
        <v>25</v>
      </c>
      <c r="G101" s="2">
        <v>0.80294699999999997</v>
      </c>
      <c r="H101" s="2">
        <v>26</v>
      </c>
      <c r="I101" s="2">
        <v>0.78505400000000003</v>
      </c>
      <c r="J101" s="2">
        <v>25.164701279830101</v>
      </c>
      <c r="K101" s="2">
        <v>97</v>
      </c>
      <c r="L101" s="2">
        <v>0.80782299999999996</v>
      </c>
      <c r="M101" s="2">
        <v>98</v>
      </c>
      <c r="N101" s="2">
        <v>0.79531200000000002</v>
      </c>
      <c r="O101" s="2">
        <v>97.625289745024403</v>
      </c>
      <c r="P101" s="2">
        <v>72</v>
      </c>
      <c r="Q101" s="2">
        <v>72.460588465194306</v>
      </c>
    </row>
    <row r="102" spans="1:17">
      <c r="A102" t="s">
        <v>20</v>
      </c>
      <c r="C102" s="1">
        <v>0</v>
      </c>
      <c r="D102" s="2">
        <v>1</v>
      </c>
      <c r="E102" s="2">
        <v>0</v>
      </c>
      <c r="F102" s="2">
        <v>23</v>
      </c>
      <c r="G102" s="2">
        <v>0.80052800000000002</v>
      </c>
      <c r="H102" s="2">
        <v>24</v>
      </c>
      <c r="I102" s="2">
        <v>0.79566899999999996</v>
      </c>
      <c r="J102" s="2">
        <v>23.1086643342251</v>
      </c>
      <c r="K102" s="2">
        <v>113</v>
      </c>
      <c r="L102" s="2">
        <v>0.80760100000000001</v>
      </c>
      <c r="M102" s="2">
        <v>114</v>
      </c>
      <c r="N102" s="2">
        <v>0.79953099999999999</v>
      </c>
      <c r="O102" s="2">
        <v>113.941883519207</v>
      </c>
      <c r="P102" s="2">
        <v>90</v>
      </c>
      <c r="Q102" s="2">
        <v>90.8332191849818</v>
      </c>
    </row>
    <row r="103" spans="1:17">
      <c r="A103" t="s">
        <v>20</v>
      </c>
      <c r="C103" s="1">
        <v>0</v>
      </c>
      <c r="D103" s="2">
        <v>1</v>
      </c>
      <c r="E103" s="2">
        <v>0</v>
      </c>
      <c r="F103" s="2">
        <v>22</v>
      </c>
      <c r="G103" s="2">
        <v>0.80723999999999996</v>
      </c>
      <c r="H103" s="2">
        <v>23</v>
      </c>
      <c r="I103" s="2">
        <v>0.79642800000000002</v>
      </c>
      <c r="J103" s="2">
        <v>22.6696263411025</v>
      </c>
      <c r="K103" s="2">
        <v>113</v>
      </c>
      <c r="L103" s="2">
        <v>0.80704200000000004</v>
      </c>
      <c r="M103" s="2">
        <v>114</v>
      </c>
      <c r="N103" s="2">
        <v>0.79995099999999997</v>
      </c>
      <c r="O103" s="2">
        <v>113.99308983218199</v>
      </c>
      <c r="P103" s="2">
        <v>91</v>
      </c>
      <c r="Q103" s="2">
        <v>91.323463491079195</v>
      </c>
    </row>
    <row r="104" spans="1:17">
      <c r="A104" t="s">
        <v>20</v>
      </c>
      <c r="C104" s="1">
        <v>0</v>
      </c>
      <c r="D104" s="2">
        <v>1</v>
      </c>
      <c r="E104" s="2">
        <v>0</v>
      </c>
      <c r="F104" s="2">
        <v>28</v>
      </c>
      <c r="G104" s="2">
        <v>0.80198999999999998</v>
      </c>
      <c r="H104" s="2">
        <v>29</v>
      </c>
      <c r="I104" s="2">
        <v>0.79522999999999999</v>
      </c>
      <c r="J104" s="2">
        <v>28.294378698224801</v>
      </c>
      <c r="K104" s="2">
        <v>103</v>
      </c>
      <c r="L104" s="2">
        <v>0.80613400000000002</v>
      </c>
      <c r="M104" s="2">
        <v>104</v>
      </c>
      <c r="N104" s="2">
        <v>0.79294600000000004</v>
      </c>
      <c r="O104" s="2">
        <v>103.465119805884</v>
      </c>
      <c r="P104" s="2">
        <v>75</v>
      </c>
      <c r="Q104" s="2">
        <v>75.170741107659296</v>
      </c>
    </row>
    <row r="105" spans="1:17">
      <c r="A105" t="s">
        <v>20</v>
      </c>
      <c r="C105" s="1">
        <v>0</v>
      </c>
      <c r="D105" s="2">
        <v>1</v>
      </c>
      <c r="E105" s="2">
        <v>0</v>
      </c>
      <c r="F105" s="2">
        <v>18</v>
      </c>
      <c r="G105" s="2">
        <v>0.81240400000000002</v>
      </c>
      <c r="H105" s="2">
        <v>19</v>
      </c>
      <c r="I105" s="2">
        <v>0.78830500000000003</v>
      </c>
      <c r="J105" s="2">
        <v>18.5147101539483</v>
      </c>
      <c r="K105" s="2">
        <v>113</v>
      </c>
      <c r="L105" s="2">
        <v>0.803346</v>
      </c>
      <c r="M105" s="2">
        <v>114</v>
      </c>
      <c r="N105" s="2">
        <v>0.79635999999999996</v>
      </c>
      <c r="O105" s="2">
        <v>113.478957915832</v>
      </c>
      <c r="P105" s="2">
        <v>95</v>
      </c>
      <c r="Q105" s="2">
        <v>94.964247761883399</v>
      </c>
    </row>
    <row r="106" spans="1:17">
      <c r="A106" t="s">
        <v>20</v>
      </c>
      <c r="C106" s="1">
        <v>0</v>
      </c>
      <c r="D106" s="2">
        <v>1</v>
      </c>
      <c r="E106" s="2">
        <v>0</v>
      </c>
      <c r="F106" s="2">
        <v>21</v>
      </c>
      <c r="G106" s="2">
        <v>0.80903999999999998</v>
      </c>
      <c r="H106" s="2">
        <v>22</v>
      </c>
      <c r="I106" s="2">
        <v>0.79709600000000003</v>
      </c>
      <c r="J106" s="2">
        <v>21.756865371734801</v>
      </c>
      <c r="K106" s="2">
        <v>121</v>
      </c>
      <c r="L106" s="2">
        <v>0.80239499999999997</v>
      </c>
      <c r="M106" s="2">
        <v>122</v>
      </c>
      <c r="N106" s="2">
        <v>0.78815500000000005</v>
      </c>
      <c r="O106" s="2">
        <v>121.16818820224699</v>
      </c>
      <c r="P106" s="2">
        <v>100</v>
      </c>
      <c r="Q106" s="2">
        <v>99.411322830512404</v>
      </c>
    </row>
    <row r="107" spans="1:17">
      <c r="A107" t="s">
        <v>20</v>
      </c>
      <c r="C107" s="1">
        <v>0</v>
      </c>
      <c r="D107" s="2">
        <v>1</v>
      </c>
      <c r="E107" s="2">
        <v>0</v>
      </c>
      <c r="F107" s="2">
        <v>20</v>
      </c>
      <c r="G107" s="2">
        <v>0.80207099999999998</v>
      </c>
      <c r="H107" s="2">
        <v>21</v>
      </c>
      <c r="I107" s="2">
        <v>0.797292</v>
      </c>
      <c r="J107" s="2">
        <v>20.433354258213001</v>
      </c>
      <c r="K107" s="2">
        <v>112</v>
      </c>
      <c r="L107" s="2">
        <v>0.80416799999999999</v>
      </c>
      <c r="M107" s="2">
        <v>113</v>
      </c>
      <c r="N107" s="2">
        <v>0.79450100000000001</v>
      </c>
      <c r="O107" s="2">
        <v>112.431157546292</v>
      </c>
      <c r="P107" s="2">
        <v>92</v>
      </c>
      <c r="Q107" s="2">
        <v>91.997803288078501</v>
      </c>
    </row>
    <row r="108" spans="1:17">
      <c r="A108" t="s">
        <v>20</v>
      </c>
      <c r="C108" s="1">
        <v>0</v>
      </c>
      <c r="D108" s="2">
        <v>1</v>
      </c>
      <c r="E108" s="2">
        <v>0</v>
      </c>
      <c r="F108" s="2">
        <v>30</v>
      </c>
      <c r="G108" s="2">
        <v>0.81699999999999995</v>
      </c>
      <c r="H108" s="2">
        <v>31</v>
      </c>
      <c r="I108" s="2">
        <v>0.79940900000000004</v>
      </c>
      <c r="J108" s="2">
        <v>30.966403274401699</v>
      </c>
      <c r="K108" s="2">
        <v>126</v>
      </c>
      <c r="L108" s="2">
        <v>0.80334899999999998</v>
      </c>
      <c r="M108" s="2">
        <v>127</v>
      </c>
      <c r="N108" s="2">
        <v>0.79779599999999995</v>
      </c>
      <c r="O108" s="2">
        <v>126.603097424815</v>
      </c>
      <c r="P108" s="2">
        <v>96</v>
      </c>
      <c r="Q108" s="2">
        <v>95.636694150413703</v>
      </c>
    </row>
    <row r="109" spans="1:17">
      <c r="A109" t="s">
        <v>20</v>
      </c>
      <c r="C109" s="1">
        <v>0</v>
      </c>
      <c r="D109" s="2">
        <v>1</v>
      </c>
      <c r="E109" s="2">
        <v>0</v>
      </c>
      <c r="F109" s="2">
        <v>26</v>
      </c>
      <c r="G109" s="2">
        <v>0.81097300000000005</v>
      </c>
      <c r="H109" s="2">
        <v>27</v>
      </c>
      <c r="I109" s="2">
        <v>0.794354</v>
      </c>
      <c r="J109" s="2">
        <v>26.660268367531099</v>
      </c>
      <c r="K109" s="2">
        <v>115</v>
      </c>
      <c r="L109" s="2">
        <v>0.80387299999999995</v>
      </c>
      <c r="M109" s="2">
        <v>116</v>
      </c>
      <c r="N109" s="2">
        <v>0.79636499999999999</v>
      </c>
      <c r="O109" s="2">
        <v>115.515849760256</v>
      </c>
      <c r="P109" s="2">
        <v>89</v>
      </c>
      <c r="Q109" s="2">
        <v>88.855581392724602</v>
      </c>
    </row>
    <row r="110" spans="1:17">
      <c r="A110" t="s">
        <v>20</v>
      </c>
      <c r="C110" s="1">
        <v>0</v>
      </c>
      <c r="D110" s="2">
        <v>1</v>
      </c>
      <c r="E110" s="2">
        <v>0</v>
      </c>
      <c r="F110" s="2">
        <v>24</v>
      </c>
      <c r="G110" s="2">
        <v>0.80398099999999995</v>
      </c>
      <c r="H110" s="2">
        <v>25</v>
      </c>
      <c r="I110" s="2">
        <v>0.79950900000000003</v>
      </c>
      <c r="J110" s="2">
        <v>24.890205724508</v>
      </c>
      <c r="K110" s="2">
        <v>117</v>
      </c>
      <c r="L110" s="2">
        <v>0.82279100000000005</v>
      </c>
      <c r="M110" s="2">
        <v>118</v>
      </c>
      <c r="N110" s="2">
        <v>0.79491100000000003</v>
      </c>
      <c r="O110" s="2">
        <v>117.817467718795</v>
      </c>
      <c r="P110" s="2">
        <v>93</v>
      </c>
      <c r="Q110" s="2">
        <v>92.927261994286795</v>
      </c>
    </row>
    <row r="111" spans="1:17">
      <c r="A111" t="s">
        <v>20</v>
      </c>
      <c r="C111" s="1">
        <v>0</v>
      </c>
      <c r="D111" s="2">
        <v>1</v>
      </c>
      <c r="E111" s="2">
        <v>0</v>
      </c>
      <c r="F111" s="2">
        <v>25</v>
      </c>
      <c r="G111" s="2">
        <v>0.80368200000000001</v>
      </c>
      <c r="H111" s="2">
        <v>26</v>
      </c>
      <c r="I111" s="2">
        <v>0.78820000000000001</v>
      </c>
      <c r="J111" s="2">
        <v>25.237824570468899</v>
      </c>
      <c r="K111" s="2">
        <v>123</v>
      </c>
      <c r="L111" s="2">
        <v>0.80376700000000001</v>
      </c>
      <c r="M111" s="2">
        <v>124</v>
      </c>
      <c r="N111" s="2">
        <v>0.79615199999999997</v>
      </c>
      <c r="O111" s="2">
        <v>123.494681549573</v>
      </c>
      <c r="P111" s="2">
        <v>98</v>
      </c>
      <c r="Q111" s="2">
        <v>98.256856979104299</v>
      </c>
    </row>
    <row r="112" spans="1:17">
      <c r="A112" t="s">
        <v>20</v>
      </c>
      <c r="C112" s="1">
        <v>0</v>
      </c>
      <c r="D112" s="2">
        <v>1</v>
      </c>
      <c r="E112" s="2">
        <v>0</v>
      </c>
      <c r="F112" s="2">
        <v>21</v>
      </c>
      <c r="G112" s="2">
        <v>0.80636200000000002</v>
      </c>
      <c r="H112" s="2">
        <v>22</v>
      </c>
      <c r="I112" s="2">
        <v>0.79370499999999999</v>
      </c>
      <c r="J112" s="2">
        <v>21.502646756735398</v>
      </c>
      <c r="K112" s="2">
        <v>120</v>
      </c>
      <c r="L112" s="2">
        <v>0.80786800000000003</v>
      </c>
      <c r="M112" s="2">
        <v>121</v>
      </c>
      <c r="N112" s="2">
        <v>0.79482900000000001</v>
      </c>
      <c r="O112" s="2">
        <v>120.60342050770799</v>
      </c>
      <c r="P112" s="2">
        <v>99</v>
      </c>
      <c r="Q112" s="2">
        <v>99.100773750972195</v>
      </c>
    </row>
    <row r="113" spans="1:17">
      <c r="A113" t="s">
        <v>20</v>
      </c>
      <c r="C113" s="1">
        <v>0</v>
      </c>
      <c r="D113" s="2">
        <v>1</v>
      </c>
      <c r="E113" s="2">
        <v>0</v>
      </c>
      <c r="F113" s="2">
        <v>21</v>
      </c>
      <c r="G113" s="2">
        <v>0.80065500000000001</v>
      </c>
      <c r="H113" s="2">
        <v>22</v>
      </c>
      <c r="I113" s="2">
        <v>0.799261</v>
      </c>
      <c r="J113" s="2">
        <v>21.4698708751793</v>
      </c>
      <c r="K113" s="2">
        <v>123</v>
      </c>
      <c r="L113" s="2">
        <v>0.81477599999999994</v>
      </c>
      <c r="M113" s="2">
        <v>124</v>
      </c>
      <c r="N113" s="2">
        <v>0.79941600000000002</v>
      </c>
      <c r="O113" s="2">
        <v>123.96197916666701</v>
      </c>
      <c r="P113" s="2">
        <v>102</v>
      </c>
      <c r="Q113" s="2">
        <v>102.492108291487</v>
      </c>
    </row>
    <row r="114" spans="1:17">
      <c r="A114" t="s">
        <v>20</v>
      </c>
      <c r="C114" s="1">
        <v>0</v>
      </c>
      <c r="D114" s="2">
        <v>1</v>
      </c>
      <c r="E114" s="2">
        <v>0</v>
      </c>
      <c r="F114" s="2">
        <v>18</v>
      </c>
      <c r="G114" s="2">
        <v>0.80312499999999998</v>
      </c>
      <c r="H114" s="2">
        <v>19</v>
      </c>
      <c r="I114" s="2">
        <v>0.79202099999999998</v>
      </c>
      <c r="J114" s="2">
        <v>18.2814301152738</v>
      </c>
      <c r="K114" s="2">
        <v>126</v>
      </c>
      <c r="L114" s="2">
        <v>0.80480799999999997</v>
      </c>
      <c r="M114" s="2">
        <v>127</v>
      </c>
      <c r="N114" s="2">
        <v>0.79183300000000001</v>
      </c>
      <c r="O114" s="2">
        <v>126.37055876685901</v>
      </c>
      <c r="P114" s="2">
        <v>108</v>
      </c>
      <c r="Q114" s="2">
        <v>108.08912865158599</v>
      </c>
    </row>
    <row r="115" spans="1:17">
      <c r="A115" t="s">
        <v>20</v>
      </c>
      <c r="C115" s="1">
        <v>0</v>
      </c>
      <c r="D115" s="2">
        <v>1</v>
      </c>
      <c r="E115" s="2">
        <v>0</v>
      </c>
      <c r="F115" s="2">
        <v>24</v>
      </c>
      <c r="G115" s="2">
        <v>0.80400300000000002</v>
      </c>
      <c r="H115" s="2">
        <v>25</v>
      </c>
      <c r="I115" s="2">
        <v>0.78288100000000005</v>
      </c>
      <c r="J115" s="2">
        <v>24.189518038064602</v>
      </c>
      <c r="K115" s="2">
        <v>121</v>
      </c>
      <c r="L115" s="2">
        <v>0.806952</v>
      </c>
      <c r="M115" s="2">
        <v>122</v>
      </c>
      <c r="N115" s="2">
        <v>0.794686</v>
      </c>
      <c r="O115" s="2">
        <v>121.566769933149</v>
      </c>
      <c r="P115" s="2">
        <v>97</v>
      </c>
      <c r="Q115" s="2">
        <v>97.377251895084001</v>
      </c>
    </row>
    <row r="116" spans="1:17">
      <c r="A116" t="s">
        <v>20</v>
      </c>
      <c r="C116" s="1">
        <v>0</v>
      </c>
      <c r="D116" s="2">
        <v>1</v>
      </c>
      <c r="E116" s="2">
        <v>0</v>
      </c>
      <c r="F116" s="2">
        <v>31</v>
      </c>
      <c r="G116" s="2">
        <v>0.80411100000000002</v>
      </c>
      <c r="H116" s="2">
        <v>32</v>
      </c>
      <c r="I116" s="2">
        <v>0.79371700000000001</v>
      </c>
      <c r="J116" s="2">
        <v>31.3955166442178</v>
      </c>
      <c r="K116" s="2">
        <v>121</v>
      </c>
      <c r="L116" s="2">
        <v>0.80028699999999997</v>
      </c>
      <c r="M116" s="2">
        <v>122</v>
      </c>
      <c r="N116" s="2">
        <v>0.78685799999999995</v>
      </c>
      <c r="O116" s="2">
        <v>121.021371658351</v>
      </c>
      <c r="P116" s="2">
        <v>90</v>
      </c>
      <c r="Q116" s="2">
        <v>89.625855014133506</v>
      </c>
    </row>
    <row r="117" spans="1:17">
      <c r="A117" t="s">
        <v>20</v>
      </c>
      <c r="C117" s="1">
        <v>0</v>
      </c>
      <c r="D117" s="2">
        <v>1</v>
      </c>
      <c r="E117" s="2">
        <v>0</v>
      </c>
      <c r="F117" s="2">
        <v>17</v>
      </c>
      <c r="G117" s="2">
        <v>0.80009600000000003</v>
      </c>
      <c r="H117" s="2">
        <v>18</v>
      </c>
      <c r="I117" s="2">
        <v>0.79469999999999996</v>
      </c>
      <c r="J117" s="2">
        <v>17.017790956263902</v>
      </c>
      <c r="K117" s="2">
        <v>130</v>
      </c>
      <c r="L117" s="2">
        <v>0.81129200000000001</v>
      </c>
      <c r="M117" s="2">
        <v>131</v>
      </c>
      <c r="N117" s="2">
        <v>0.79673899999999998</v>
      </c>
      <c r="O117" s="2">
        <v>130.77592249020799</v>
      </c>
      <c r="P117" s="2">
        <v>113</v>
      </c>
      <c r="Q117" s="2">
        <v>113.758131533944</v>
      </c>
    </row>
    <row r="118" spans="1:17">
      <c r="A118" t="s">
        <v>20</v>
      </c>
      <c r="C118" s="1">
        <v>0</v>
      </c>
      <c r="D118" s="2">
        <v>1</v>
      </c>
      <c r="E118" s="2">
        <v>0</v>
      </c>
      <c r="F118" s="2">
        <v>22</v>
      </c>
      <c r="G118" s="2">
        <v>0.80674599999999996</v>
      </c>
      <c r="H118" s="2">
        <v>23</v>
      </c>
      <c r="I118" s="2">
        <v>0.791296</v>
      </c>
      <c r="J118" s="2">
        <v>22.4366343042071</v>
      </c>
      <c r="K118" s="2">
        <v>128</v>
      </c>
      <c r="L118" s="2">
        <v>0.80904100000000001</v>
      </c>
      <c r="M118" s="2">
        <v>129</v>
      </c>
      <c r="N118" s="2">
        <v>0.79278199999999999</v>
      </c>
      <c r="O118" s="2">
        <v>128.55606125838</v>
      </c>
      <c r="P118" s="2">
        <v>106</v>
      </c>
      <c r="Q118" s="2">
        <v>106.11942695417299</v>
      </c>
    </row>
    <row r="119" spans="1:17">
      <c r="A119" t="s">
        <v>20</v>
      </c>
      <c r="C119" s="1">
        <v>0</v>
      </c>
      <c r="D119" s="2">
        <v>1</v>
      </c>
      <c r="E119" s="2">
        <v>0</v>
      </c>
      <c r="F119" s="2">
        <v>29</v>
      </c>
      <c r="G119" s="2">
        <v>0.80039300000000002</v>
      </c>
      <c r="H119" s="2">
        <v>30</v>
      </c>
      <c r="I119" s="2">
        <v>0.798983</v>
      </c>
      <c r="J119" s="2">
        <v>29.278723404255299</v>
      </c>
      <c r="K119" s="2">
        <v>135</v>
      </c>
      <c r="L119" s="2">
        <v>0.80125900000000005</v>
      </c>
      <c r="M119" s="2">
        <v>136</v>
      </c>
      <c r="N119" s="2">
        <v>0.79383400000000004</v>
      </c>
      <c r="O119" s="2">
        <v>135.16956228956201</v>
      </c>
      <c r="P119" s="2">
        <v>106</v>
      </c>
      <c r="Q119" s="2">
        <v>105.89083888530701</v>
      </c>
    </row>
    <row r="120" spans="1:17">
      <c r="A120" t="s">
        <v>20</v>
      </c>
      <c r="C120" s="1">
        <v>0</v>
      </c>
      <c r="D120" s="2">
        <v>1</v>
      </c>
      <c r="E120" s="2">
        <v>0</v>
      </c>
      <c r="F120" s="2">
        <v>27</v>
      </c>
      <c r="G120" s="2">
        <v>0.81126100000000001</v>
      </c>
      <c r="H120" s="2">
        <v>28</v>
      </c>
      <c r="I120" s="2">
        <v>0.79615199999999997</v>
      </c>
      <c r="J120" s="2">
        <v>27.745317360513599</v>
      </c>
      <c r="K120" s="2">
        <v>125</v>
      </c>
      <c r="L120" s="2">
        <v>0.81527099999999997</v>
      </c>
      <c r="M120" s="2">
        <v>126</v>
      </c>
      <c r="N120" s="2">
        <v>0.79870099999999999</v>
      </c>
      <c r="O120" s="2">
        <v>125.921605310803</v>
      </c>
      <c r="P120" s="2">
        <v>98</v>
      </c>
      <c r="Q120" s="2">
        <v>98.176287950289094</v>
      </c>
    </row>
    <row r="121" spans="1:17">
      <c r="A121" t="s">
        <v>20</v>
      </c>
      <c r="C121" s="1">
        <v>0</v>
      </c>
      <c r="D121" s="2">
        <v>1</v>
      </c>
      <c r="E121" s="2">
        <v>0</v>
      </c>
      <c r="F121" s="2">
        <v>30</v>
      </c>
      <c r="G121" s="2">
        <v>0.80058499999999999</v>
      </c>
      <c r="H121" s="2">
        <v>31</v>
      </c>
      <c r="I121" s="2">
        <v>0.79007499999999997</v>
      </c>
      <c r="J121" s="2">
        <v>30.055661274976199</v>
      </c>
      <c r="K121" s="2">
        <v>130</v>
      </c>
      <c r="L121" s="2">
        <v>0.81406400000000001</v>
      </c>
      <c r="M121" s="2">
        <v>131</v>
      </c>
      <c r="N121" s="2">
        <v>0.79857400000000001</v>
      </c>
      <c r="O121" s="2">
        <v>130.907940606843</v>
      </c>
      <c r="P121" s="2">
        <v>100</v>
      </c>
      <c r="Q121" s="2">
        <v>100.852279331867</v>
      </c>
    </row>
    <row r="122" spans="1:17">
      <c r="A122" t="s">
        <v>20</v>
      </c>
      <c r="C122" s="1">
        <v>0</v>
      </c>
      <c r="D122" s="2">
        <v>1</v>
      </c>
      <c r="E122" s="2">
        <v>0</v>
      </c>
      <c r="F122" s="2">
        <v>24</v>
      </c>
      <c r="G122" s="2">
        <v>0.802149</v>
      </c>
      <c r="H122" s="2">
        <v>25</v>
      </c>
      <c r="I122" s="2">
        <v>0.79914600000000002</v>
      </c>
      <c r="J122" s="2">
        <v>24.7156177156177</v>
      </c>
      <c r="K122" s="2">
        <v>137</v>
      </c>
      <c r="L122" s="2">
        <v>0.80866400000000005</v>
      </c>
      <c r="M122" s="2">
        <v>138</v>
      </c>
      <c r="N122" s="2">
        <v>0.796485</v>
      </c>
      <c r="O122" s="2">
        <v>137.71138845553801</v>
      </c>
      <c r="P122" s="2">
        <v>113</v>
      </c>
      <c r="Q122" s="2">
        <v>112.995770739921</v>
      </c>
    </row>
    <row r="123" spans="1:17">
      <c r="A123" t="s">
        <v>20</v>
      </c>
      <c r="C123" s="1">
        <v>0</v>
      </c>
      <c r="D123" s="2">
        <v>1</v>
      </c>
      <c r="E123" s="2">
        <v>0</v>
      </c>
      <c r="F123" s="2">
        <v>23</v>
      </c>
      <c r="G123" s="2">
        <v>0.81194200000000005</v>
      </c>
      <c r="H123" s="2">
        <v>24</v>
      </c>
      <c r="I123" s="2">
        <v>0.79937000000000002</v>
      </c>
      <c r="J123" s="2">
        <v>23.9498886414254</v>
      </c>
      <c r="K123" s="2">
        <v>134</v>
      </c>
      <c r="L123" s="2">
        <v>0.80110099999999995</v>
      </c>
      <c r="M123" s="2">
        <v>135</v>
      </c>
      <c r="N123" s="2">
        <v>0.78854199999999997</v>
      </c>
      <c r="O123" s="2">
        <v>134.087666215463</v>
      </c>
      <c r="P123" s="2">
        <v>111</v>
      </c>
      <c r="Q123" s="2">
        <v>110.137777574038</v>
      </c>
    </row>
    <row r="124" spans="1:17">
      <c r="A124" t="s">
        <v>20</v>
      </c>
      <c r="C124" s="1">
        <v>0</v>
      </c>
      <c r="D124" s="2">
        <v>1</v>
      </c>
      <c r="E124" s="2">
        <v>0</v>
      </c>
      <c r="F124" s="2">
        <v>21</v>
      </c>
      <c r="G124" s="2">
        <v>0.81134300000000004</v>
      </c>
      <c r="H124" s="2">
        <v>22</v>
      </c>
      <c r="I124" s="2">
        <v>0.79445600000000005</v>
      </c>
      <c r="J124" s="2">
        <v>21.671700124356001</v>
      </c>
      <c r="K124" s="2">
        <v>130</v>
      </c>
      <c r="L124" s="2">
        <v>0.80355900000000002</v>
      </c>
      <c r="M124" s="2">
        <v>131</v>
      </c>
      <c r="N124" s="2">
        <v>0.79220500000000005</v>
      </c>
      <c r="O124" s="2">
        <v>130.31345781222501</v>
      </c>
      <c r="P124" s="2">
        <v>109</v>
      </c>
      <c r="Q124" s="2">
        <v>108.641757687869</v>
      </c>
    </row>
    <row r="125" spans="1:17">
      <c r="A125" t="s">
        <v>20</v>
      </c>
      <c r="C125" s="1">
        <v>0</v>
      </c>
      <c r="D125" s="2">
        <v>1</v>
      </c>
      <c r="E125" s="2">
        <v>0</v>
      </c>
      <c r="F125" s="2">
        <v>20</v>
      </c>
      <c r="G125" s="2">
        <v>0.80854099999999995</v>
      </c>
      <c r="H125" s="2">
        <v>21</v>
      </c>
      <c r="I125" s="2">
        <v>0.799929</v>
      </c>
      <c r="J125" s="2">
        <v>20.991755689735299</v>
      </c>
      <c r="K125" s="2">
        <v>140</v>
      </c>
      <c r="L125" s="2">
        <v>0.80492200000000003</v>
      </c>
      <c r="M125" s="2">
        <v>141</v>
      </c>
      <c r="N125" s="2">
        <v>0.79995300000000003</v>
      </c>
      <c r="O125" s="2">
        <v>140.99054135641001</v>
      </c>
      <c r="P125" s="2">
        <v>120</v>
      </c>
      <c r="Q125" s="2">
        <v>119.998785666675</v>
      </c>
    </row>
    <row r="126" spans="1:17">
      <c r="A126" t="s">
        <v>20</v>
      </c>
      <c r="C126" s="1">
        <v>0</v>
      </c>
      <c r="D126" s="2">
        <v>1</v>
      </c>
      <c r="E126" s="2">
        <v>0</v>
      </c>
      <c r="F126" s="2">
        <v>25</v>
      </c>
      <c r="G126" s="2">
        <v>0.80086599999999997</v>
      </c>
      <c r="H126" s="2">
        <v>26</v>
      </c>
      <c r="I126" s="2">
        <v>0.79956799999999995</v>
      </c>
      <c r="J126" s="2">
        <v>25.667180277349701</v>
      </c>
      <c r="K126" s="2">
        <v>134</v>
      </c>
      <c r="L126" s="2">
        <v>0.80635400000000002</v>
      </c>
      <c r="M126" s="2">
        <v>135</v>
      </c>
      <c r="N126" s="2">
        <v>0.77914000000000005</v>
      </c>
      <c r="O126" s="2">
        <v>134.23348276622301</v>
      </c>
      <c r="P126" s="2">
        <v>109</v>
      </c>
      <c r="Q126" s="2">
        <v>108.566302488874</v>
      </c>
    </row>
    <row r="130" spans="1:21">
      <c r="A130" t="s">
        <v>18</v>
      </c>
      <c r="C130" s="1">
        <v>1</v>
      </c>
      <c r="D130" s="2">
        <v>1</v>
      </c>
      <c r="E130" s="2">
        <v>0</v>
      </c>
      <c r="F130" s="2">
        <v>47</v>
      </c>
      <c r="G130" s="2">
        <v>0.44166699999999998</v>
      </c>
      <c r="H130" s="2">
        <v>48</v>
      </c>
      <c r="I130" s="2">
        <v>0.50868100000000005</v>
      </c>
      <c r="J130" s="2">
        <v>47.870459903900702</v>
      </c>
      <c r="K130" s="2">
        <v>107</v>
      </c>
      <c r="L130" s="2">
        <v>0.46774199999999999</v>
      </c>
      <c r="M130" s="2">
        <v>108</v>
      </c>
      <c r="N130" s="2">
        <v>0.5</v>
      </c>
      <c r="O130" s="2">
        <v>108</v>
      </c>
      <c r="P130" s="2">
        <v>60</v>
      </c>
      <c r="Q130" s="2">
        <v>60.129540096099298</v>
      </c>
      <c r="S130">
        <f>AVERAGE(Q130:Q149)</f>
        <v>57.53217057661432</v>
      </c>
      <c r="T130">
        <f>STDEV(Q130:Q149)</f>
        <v>8.3678501263104916</v>
      </c>
      <c r="U130">
        <f>T130/SQRT(COUNT(Q130:Q149))</f>
        <v>1.871108170796046</v>
      </c>
    </row>
    <row r="131" spans="1:21">
      <c r="A131" t="s">
        <v>18</v>
      </c>
      <c r="C131" s="1">
        <v>1</v>
      </c>
      <c r="D131" s="2">
        <v>1</v>
      </c>
      <c r="E131" s="2">
        <v>0</v>
      </c>
      <c r="F131" s="2">
        <v>44</v>
      </c>
      <c r="G131" s="2">
        <v>0.47222199999999998</v>
      </c>
      <c r="H131" s="2">
        <v>45</v>
      </c>
      <c r="I131" s="2">
        <v>0.58620700000000003</v>
      </c>
      <c r="J131" s="2">
        <v>44.243698732289303</v>
      </c>
      <c r="K131" s="2">
        <v>99</v>
      </c>
      <c r="L131" s="2">
        <v>0.482877</v>
      </c>
      <c r="M131" s="2">
        <v>100</v>
      </c>
      <c r="N131" s="2">
        <v>0.54078000000000004</v>
      </c>
      <c r="O131" s="2">
        <v>99.295718701967104</v>
      </c>
      <c r="P131" s="2">
        <v>55</v>
      </c>
      <c r="Q131" s="2">
        <v>55.052019969677801</v>
      </c>
    </row>
    <row r="132" spans="1:21">
      <c r="A132" t="s">
        <v>18</v>
      </c>
      <c r="C132" s="1">
        <v>1</v>
      </c>
      <c r="D132" s="2">
        <v>1</v>
      </c>
      <c r="E132" s="2">
        <v>0</v>
      </c>
      <c r="F132" s="2">
        <v>43</v>
      </c>
      <c r="G132" s="2">
        <v>0.45680599999999999</v>
      </c>
      <c r="H132" s="2">
        <v>44</v>
      </c>
      <c r="I132" s="2">
        <v>0.54531200000000002</v>
      </c>
      <c r="J132" s="2">
        <v>43.488034709511197</v>
      </c>
      <c r="K132" s="2">
        <v>100</v>
      </c>
      <c r="L132" s="2">
        <v>0.49709300000000001</v>
      </c>
      <c r="M132" s="2">
        <v>101</v>
      </c>
      <c r="N132" s="2">
        <v>0.59628400000000004</v>
      </c>
      <c r="O132" s="2">
        <v>100.029307094394</v>
      </c>
      <c r="P132" s="2">
        <v>57</v>
      </c>
      <c r="Q132" s="2">
        <v>56.541272384882397</v>
      </c>
    </row>
    <row r="133" spans="1:21">
      <c r="A133" t="s">
        <v>18</v>
      </c>
      <c r="C133" s="1">
        <v>1</v>
      </c>
      <c r="D133" s="2">
        <v>1</v>
      </c>
      <c r="E133" s="2">
        <v>0</v>
      </c>
      <c r="F133" s="2">
        <v>46</v>
      </c>
      <c r="G133" s="2">
        <v>0.49225999999999998</v>
      </c>
      <c r="H133" s="2">
        <v>47</v>
      </c>
      <c r="I133" s="2">
        <v>0.51178500000000005</v>
      </c>
      <c r="J133" s="2">
        <v>46.396414852752898</v>
      </c>
      <c r="K133" s="2">
        <v>97</v>
      </c>
      <c r="L133" s="2">
        <v>0.47193000000000002</v>
      </c>
      <c r="M133" s="2">
        <v>98</v>
      </c>
      <c r="N133" s="2">
        <v>0.56226399999999999</v>
      </c>
      <c r="O133" s="2">
        <v>97.310735714127603</v>
      </c>
      <c r="P133" s="2">
        <v>51</v>
      </c>
      <c r="Q133" s="2">
        <v>50.914320861374698</v>
      </c>
    </row>
    <row r="134" spans="1:21">
      <c r="A134" t="s">
        <v>18</v>
      </c>
      <c r="C134" s="1">
        <v>1</v>
      </c>
      <c r="D134" s="2">
        <v>1</v>
      </c>
      <c r="E134" s="2">
        <v>0</v>
      </c>
      <c r="F134" s="2">
        <v>51</v>
      </c>
      <c r="G134" s="2">
        <v>0.446575</v>
      </c>
      <c r="H134" s="2">
        <v>52</v>
      </c>
      <c r="I134" s="2">
        <v>0.54693099999999994</v>
      </c>
      <c r="J134" s="2">
        <v>51.532354816851999</v>
      </c>
      <c r="K134" s="2">
        <v>93</v>
      </c>
      <c r="L134" s="2">
        <v>0.46239599999999997</v>
      </c>
      <c r="M134" s="2">
        <v>94</v>
      </c>
      <c r="N134" s="2">
        <v>0.50279300000000005</v>
      </c>
      <c r="O134" s="2">
        <v>93.9308612025645</v>
      </c>
      <c r="P134" s="2">
        <v>42</v>
      </c>
      <c r="Q134" s="2">
        <v>42.398506385712501</v>
      </c>
    </row>
    <row r="135" spans="1:21">
      <c r="A135" t="s">
        <v>18</v>
      </c>
      <c r="C135" s="1">
        <v>1</v>
      </c>
      <c r="D135" s="2">
        <v>1</v>
      </c>
      <c r="E135" s="2">
        <v>0</v>
      </c>
      <c r="F135" s="2">
        <v>30</v>
      </c>
      <c r="G135" s="2">
        <v>0.40049800000000002</v>
      </c>
      <c r="H135" s="2">
        <v>31</v>
      </c>
      <c r="I135" s="2">
        <v>0.51373599999999997</v>
      </c>
      <c r="J135" s="2">
        <v>30.8786979635811</v>
      </c>
      <c r="K135" s="2">
        <v>101</v>
      </c>
      <c r="L135" s="2">
        <v>0.48481000000000002</v>
      </c>
      <c r="M135" s="2">
        <v>102</v>
      </c>
      <c r="N135" s="2">
        <v>0.55762699999999998</v>
      </c>
      <c r="O135" s="2">
        <v>101.208605133417</v>
      </c>
      <c r="P135" s="2">
        <v>71</v>
      </c>
      <c r="Q135" s="2">
        <v>70.329907169835494</v>
      </c>
    </row>
    <row r="136" spans="1:21">
      <c r="A136" t="s">
        <v>18</v>
      </c>
      <c r="C136" s="1">
        <v>1</v>
      </c>
      <c r="D136" s="2">
        <v>1</v>
      </c>
      <c r="E136" s="2">
        <v>0</v>
      </c>
      <c r="F136" s="2">
        <v>52</v>
      </c>
      <c r="G136" s="2">
        <v>0.445378</v>
      </c>
      <c r="H136" s="2">
        <v>53</v>
      </c>
      <c r="I136" s="2">
        <v>0.55704699999999996</v>
      </c>
      <c r="J136" s="2">
        <v>52.489142017928003</v>
      </c>
      <c r="K136" s="2">
        <v>98</v>
      </c>
      <c r="L136" s="2">
        <v>0.46938800000000003</v>
      </c>
      <c r="M136" s="2">
        <v>99</v>
      </c>
      <c r="N136" s="2">
        <v>0.51724099999999995</v>
      </c>
      <c r="O136" s="2">
        <v>98.639709109146807</v>
      </c>
      <c r="P136" s="2">
        <v>46</v>
      </c>
      <c r="Q136" s="2">
        <v>46.150567091218797</v>
      </c>
    </row>
    <row r="137" spans="1:21">
      <c r="A137" t="s">
        <v>18</v>
      </c>
      <c r="C137" s="1">
        <v>1</v>
      </c>
      <c r="D137" s="2">
        <v>1</v>
      </c>
      <c r="E137" s="2">
        <v>0</v>
      </c>
      <c r="F137" s="2">
        <v>51</v>
      </c>
      <c r="G137" s="2">
        <v>0.47076000000000001</v>
      </c>
      <c r="H137" s="2">
        <v>52</v>
      </c>
      <c r="I137" s="2">
        <v>0.52788100000000004</v>
      </c>
      <c r="J137" s="2">
        <v>51.511895800143598</v>
      </c>
      <c r="K137" s="2">
        <v>104</v>
      </c>
      <c r="L137" s="2">
        <v>0.49152499999999999</v>
      </c>
      <c r="M137" s="2">
        <v>105</v>
      </c>
      <c r="N137" s="2">
        <v>0.60912699999999997</v>
      </c>
      <c r="O137" s="2">
        <v>104.072065100934</v>
      </c>
      <c r="P137" s="2">
        <v>53</v>
      </c>
      <c r="Q137" s="2">
        <v>52.560169300790101</v>
      </c>
    </row>
    <row r="138" spans="1:21">
      <c r="A138" t="s">
        <v>18</v>
      </c>
      <c r="C138" s="1">
        <v>1</v>
      </c>
      <c r="D138" s="2">
        <v>1</v>
      </c>
      <c r="E138" s="2">
        <v>0</v>
      </c>
      <c r="F138" s="2">
        <v>47</v>
      </c>
      <c r="G138" s="2">
        <v>0.46790500000000002</v>
      </c>
      <c r="H138" s="2">
        <v>48</v>
      </c>
      <c r="I138" s="2">
        <v>0.50333300000000003</v>
      </c>
      <c r="J138" s="2">
        <v>47.905921869707598</v>
      </c>
      <c r="K138" s="2">
        <v>95</v>
      </c>
      <c r="L138" s="2">
        <v>0.44517000000000001</v>
      </c>
      <c r="M138" s="2">
        <v>96</v>
      </c>
      <c r="N138" s="2">
        <v>0.53658499999999998</v>
      </c>
      <c r="O138" s="2">
        <v>95.599792156648306</v>
      </c>
      <c r="P138" s="2">
        <v>48</v>
      </c>
      <c r="Q138" s="2">
        <v>47.693870286940701</v>
      </c>
    </row>
    <row r="139" spans="1:21">
      <c r="A139" t="s">
        <v>18</v>
      </c>
      <c r="C139" s="1">
        <v>1</v>
      </c>
      <c r="D139" s="2">
        <v>1</v>
      </c>
      <c r="E139" s="2">
        <v>0</v>
      </c>
      <c r="F139" s="2">
        <v>42</v>
      </c>
      <c r="G139" s="2">
        <v>0.48363600000000001</v>
      </c>
      <c r="H139" s="2">
        <v>43</v>
      </c>
      <c r="I139" s="2">
        <v>0.55308199999999996</v>
      </c>
      <c r="J139" s="2">
        <v>42.235636321746398</v>
      </c>
      <c r="K139" s="2">
        <v>98</v>
      </c>
      <c r="L139" s="2">
        <v>0.44638100000000003</v>
      </c>
      <c r="M139" s="2">
        <v>99</v>
      </c>
      <c r="N139" s="2">
        <v>0.50867099999999998</v>
      </c>
      <c r="O139" s="2">
        <v>98.860796275485598</v>
      </c>
      <c r="P139" s="2">
        <v>56</v>
      </c>
      <c r="Q139" s="2">
        <v>56.6251599537392</v>
      </c>
    </row>
    <row r="140" spans="1:21">
      <c r="A140" t="s">
        <v>18</v>
      </c>
      <c r="C140" s="1">
        <v>1</v>
      </c>
      <c r="D140" s="2">
        <v>1</v>
      </c>
      <c r="E140" s="2">
        <v>0</v>
      </c>
      <c r="F140" s="2">
        <v>42</v>
      </c>
      <c r="G140" s="2">
        <v>0.46875</v>
      </c>
      <c r="H140" s="2">
        <v>43</v>
      </c>
      <c r="I140" s="2">
        <v>0.59075900000000003</v>
      </c>
      <c r="J140" s="2">
        <v>42.256128646247397</v>
      </c>
      <c r="K140" s="2">
        <v>99</v>
      </c>
      <c r="L140" s="2">
        <v>0.45515</v>
      </c>
      <c r="M140" s="2">
        <v>100</v>
      </c>
      <c r="N140" s="2">
        <v>0.50830600000000004</v>
      </c>
      <c r="O140" s="2">
        <v>99.843742945293101</v>
      </c>
      <c r="P140" s="2">
        <v>57</v>
      </c>
      <c r="Q140" s="2">
        <v>57.587614299045697</v>
      </c>
    </row>
    <row r="141" spans="1:21">
      <c r="A141" t="s">
        <v>18</v>
      </c>
      <c r="C141" s="1">
        <v>1</v>
      </c>
      <c r="D141" s="2">
        <v>1</v>
      </c>
      <c r="E141" s="2">
        <v>0</v>
      </c>
      <c r="F141" s="2">
        <v>51</v>
      </c>
      <c r="G141" s="2">
        <v>0.49513000000000001</v>
      </c>
      <c r="H141" s="2">
        <v>52</v>
      </c>
      <c r="I141" s="2">
        <v>0.517123</v>
      </c>
      <c r="J141" s="2">
        <v>51.221434092665802</v>
      </c>
      <c r="K141" s="2">
        <v>107</v>
      </c>
      <c r="L141" s="2">
        <v>0.49674299999999999</v>
      </c>
      <c r="M141" s="2">
        <v>108</v>
      </c>
      <c r="N141" s="2">
        <v>0.58064499999999997</v>
      </c>
      <c r="O141" s="2">
        <v>107.038819098472</v>
      </c>
      <c r="P141" s="2">
        <v>56</v>
      </c>
      <c r="Q141" s="2">
        <v>55.817385005806202</v>
      </c>
    </row>
    <row r="142" spans="1:21">
      <c r="A142" t="s">
        <v>18</v>
      </c>
      <c r="C142" s="1">
        <v>1</v>
      </c>
      <c r="D142" s="2">
        <v>1</v>
      </c>
      <c r="E142" s="2">
        <v>0</v>
      </c>
      <c r="F142" s="2">
        <v>38</v>
      </c>
      <c r="G142" s="2">
        <v>0.46344600000000002</v>
      </c>
      <c r="H142" s="2">
        <v>39</v>
      </c>
      <c r="I142" s="2">
        <v>0.525281</v>
      </c>
      <c r="J142" s="2">
        <v>38.591153877254001</v>
      </c>
      <c r="K142" s="2">
        <v>100</v>
      </c>
      <c r="L142" s="2">
        <v>0.44930100000000001</v>
      </c>
      <c r="M142" s="2">
        <v>101</v>
      </c>
      <c r="N142" s="2">
        <v>0.50732600000000005</v>
      </c>
      <c r="O142" s="2">
        <v>100.87374407582899</v>
      </c>
      <c r="P142" s="2">
        <v>62</v>
      </c>
      <c r="Q142" s="2">
        <v>62.282590198575399</v>
      </c>
    </row>
    <row r="143" spans="1:21">
      <c r="A143" t="s">
        <v>18</v>
      </c>
      <c r="C143" s="1">
        <v>1</v>
      </c>
      <c r="D143" s="2">
        <v>1</v>
      </c>
      <c r="E143" s="2">
        <v>0</v>
      </c>
      <c r="F143" s="2">
        <v>46</v>
      </c>
      <c r="G143" s="2">
        <v>0.44444400000000001</v>
      </c>
      <c r="H143" s="2">
        <v>47</v>
      </c>
      <c r="I143" s="2">
        <v>0.50590000000000002</v>
      </c>
      <c r="J143" s="2">
        <v>46.9039963551159</v>
      </c>
      <c r="K143" s="2">
        <v>106</v>
      </c>
      <c r="L143" s="2">
        <v>0.45224700000000001</v>
      </c>
      <c r="M143" s="2">
        <v>107</v>
      </c>
      <c r="N143" s="2">
        <v>0.531802</v>
      </c>
      <c r="O143" s="2">
        <v>106.600251398404</v>
      </c>
      <c r="P143" s="2">
        <v>60</v>
      </c>
      <c r="Q143" s="2">
        <v>59.696255043287799</v>
      </c>
    </row>
    <row r="144" spans="1:21">
      <c r="A144" t="s">
        <v>18</v>
      </c>
      <c r="C144" s="1">
        <v>1</v>
      </c>
      <c r="D144" s="2">
        <v>1</v>
      </c>
      <c r="E144" s="2">
        <v>0</v>
      </c>
      <c r="F144" s="2">
        <v>45</v>
      </c>
      <c r="G144" s="2">
        <v>0.45277800000000001</v>
      </c>
      <c r="H144" s="2">
        <v>46</v>
      </c>
      <c r="I144" s="2">
        <v>0.53868199999999999</v>
      </c>
      <c r="J144" s="2">
        <v>45.549706649282903</v>
      </c>
      <c r="K144" s="2">
        <v>111</v>
      </c>
      <c r="L144" s="2">
        <v>0.49843700000000002</v>
      </c>
      <c r="M144" s="2">
        <v>112</v>
      </c>
      <c r="N144" s="2">
        <v>0.54982200000000003</v>
      </c>
      <c r="O144" s="2">
        <v>111.03041743699499</v>
      </c>
      <c r="P144" s="2">
        <v>66</v>
      </c>
      <c r="Q144" s="2">
        <v>65.480710787712297</v>
      </c>
    </row>
    <row r="145" spans="1:21">
      <c r="A145" t="s">
        <v>18</v>
      </c>
      <c r="C145" s="1">
        <v>1</v>
      </c>
      <c r="D145" s="2">
        <v>1</v>
      </c>
      <c r="E145" s="2">
        <v>0</v>
      </c>
      <c r="F145" s="2">
        <v>43</v>
      </c>
      <c r="G145" s="2">
        <v>0.44007499999999999</v>
      </c>
      <c r="H145" s="2">
        <v>44</v>
      </c>
      <c r="I145" s="2">
        <v>0.53684200000000004</v>
      </c>
      <c r="J145" s="2">
        <v>43.6192710324801</v>
      </c>
      <c r="K145" s="2">
        <v>98</v>
      </c>
      <c r="L145" s="2">
        <v>0.49193500000000001</v>
      </c>
      <c r="M145" s="2">
        <v>99</v>
      </c>
      <c r="N145" s="2">
        <v>0.61666699999999997</v>
      </c>
      <c r="O145" s="2">
        <v>98.064658628098599</v>
      </c>
      <c r="P145" s="2">
        <v>55</v>
      </c>
      <c r="Q145" s="2">
        <v>54.445387595618598</v>
      </c>
    </row>
    <row r="146" spans="1:21">
      <c r="A146" t="s">
        <v>18</v>
      </c>
      <c r="C146" s="1">
        <v>1</v>
      </c>
      <c r="D146" s="2">
        <v>1</v>
      </c>
      <c r="E146" s="2">
        <v>0</v>
      </c>
      <c r="F146" s="2">
        <v>55</v>
      </c>
      <c r="G146" s="2">
        <v>0.47985299999999997</v>
      </c>
      <c r="H146" s="2">
        <v>56</v>
      </c>
      <c r="I146" s="2">
        <v>0.50912400000000002</v>
      </c>
      <c r="J146" s="2">
        <v>55.688292166308003</v>
      </c>
      <c r="K146" s="2">
        <v>109</v>
      </c>
      <c r="L146" s="2">
        <v>0.45638600000000001</v>
      </c>
      <c r="M146" s="2">
        <v>110</v>
      </c>
      <c r="N146" s="2">
        <v>0.53514399999999995</v>
      </c>
      <c r="O146" s="2">
        <v>109.553772315193</v>
      </c>
      <c r="P146" s="2">
        <v>54</v>
      </c>
      <c r="Q146" s="2">
        <v>53.865480148885403</v>
      </c>
    </row>
    <row r="147" spans="1:21">
      <c r="A147" t="s">
        <v>18</v>
      </c>
      <c r="C147" s="1">
        <v>1</v>
      </c>
      <c r="D147" s="2">
        <v>1</v>
      </c>
      <c r="E147" s="2">
        <v>0</v>
      </c>
      <c r="F147" s="2">
        <v>41</v>
      </c>
      <c r="G147" s="2">
        <v>0.42966799999999999</v>
      </c>
      <c r="H147" s="2">
        <v>42</v>
      </c>
      <c r="I147" s="2">
        <v>0.50769200000000003</v>
      </c>
      <c r="J147" s="2">
        <v>41.901414949246401</v>
      </c>
      <c r="K147" s="2">
        <v>113</v>
      </c>
      <c r="L147" s="2">
        <v>0.46927400000000002</v>
      </c>
      <c r="M147" s="2">
        <v>114</v>
      </c>
      <c r="N147" s="2">
        <v>0.55149499999999996</v>
      </c>
      <c r="O147" s="2">
        <v>113.373700149597</v>
      </c>
      <c r="P147" s="2">
        <v>72</v>
      </c>
      <c r="Q147" s="2">
        <v>71.472285200350399</v>
      </c>
    </row>
    <row r="148" spans="1:21">
      <c r="A148" t="s">
        <v>18</v>
      </c>
      <c r="C148" s="1">
        <v>1</v>
      </c>
      <c r="D148" s="2">
        <v>1</v>
      </c>
      <c r="E148" s="2">
        <v>0</v>
      </c>
      <c r="F148" s="2">
        <v>44</v>
      </c>
      <c r="G148" s="2">
        <v>0.48659000000000002</v>
      </c>
      <c r="H148" s="2">
        <v>45</v>
      </c>
      <c r="I148" s="2">
        <v>0.54268300000000003</v>
      </c>
      <c r="J148" s="2">
        <v>44.239067263294899</v>
      </c>
      <c r="K148" s="2">
        <v>100</v>
      </c>
      <c r="L148" s="2">
        <v>0.44393899999999997</v>
      </c>
      <c r="M148" s="2">
        <v>101</v>
      </c>
      <c r="N148" s="2">
        <v>0.54863200000000001</v>
      </c>
      <c r="O148" s="2">
        <v>100.53547992702499</v>
      </c>
      <c r="P148" s="2">
        <v>56</v>
      </c>
      <c r="Q148" s="2">
        <v>56.296412663729797</v>
      </c>
    </row>
    <row r="149" spans="1:21">
      <c r="A149" t="s">
        <v>18</v>
      </c>
      <c r="C149" s="1">
        <v>1</v>
      </c>
      <c r="D149" s="2">
        <v>1</v>
      </c>
      <c r="E149" s="2">
        <v>0</v>
      </c>
      <c r="F149" s="2">
        <v>42</v>
      </c>
      <c r="G149" s="2">
        <v>0.491784</v>
      </c>
      <c r="H149" s="2">
        <v>43</v>
      </c>
      <c r="I149" s="2">
        <v>0.50880300000000001</v>
      </c>
      <c r="J149" s="2">
        <v>42.482754568423502</v>
      </c>
      <c r="K149" s="2">
        <v>117</v>
      </c>
      <c r="L149" s="2">
        <v>0.45103900000000002</v>
      </c>
      <c r="M149" s="2">
        <v>118</v>
      </c>
      <c r="N149" s="2">
        <v>0.51327400000000001</v>
      </c>
      <c r="O149" s="2">
        <v>117.78671165742701</v>
      </c>
      <c r="P149" s="2">
        <v>75</v>
      </c>
      <c r="Q149" s="2">
        <v>75.303957089004001</v>
      </c>
    </row>
    <row r="152" spans="1:2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 spans="1:2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2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 spans="1:2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 spans="1:21">
      <c r="A156" t="s">
        <v>19</v>
      </c>
      <c r="C156">
        <v>1</v>
      </c>
      <c r="D156">
        <v>1</v>
      </c>
      <c r="E156">
        <v>0</v>
      </c>
      <c r="F156">
        <v>27</v>
      </c>
      <c r="G156">
        <v>0.48742600000000003</v>
      </c>
      <c r="H156">
        <v>28</v>
      </c>
      <c r="I156">
        <v>0.56729600000000002</v>
      </c>
      <c r="J156">
        <v>27.157430825090699</v>
      </c>
      <c r="K156">
        <v>66</v>
      </c>
      <c r="L156">
        <v>0.49160900000000002</v>
      </c>
      <c r="M156">
        <v>67</v>
      </c>
      <c r="N156">
        <v>0.558365</v>
      </c>
      <c r="O156">
        <v>66.125696566600695</v>
      </c>
      <c r="P156">
        <v>39</v>
      </c>
      <c r="Q156">
        <v>38.968265741509903</v>
      </c>
      <c r="R156" s="2"/>
      <c r="S156">
        <f>AVERAGE(Q156:Q181)</f>
        <v>39.113667243649203</v>
      </c>
      <c r="T156">
        <f>STDEV(Q156:Q181)</f>
        <v>0.54733268457620221</v>
      </c>
      <c r="U156">
        <f>T156/SQRT(COUNT(Q156:Q181))</f>
        <v>0.10734077073389153</v>
      </c>
    </row>
    <row r="157" spans="1:21">
      <c r="A157" t="s">
        <v>19</v>
      </c>
      <c r="C157">
        <v>1</v>
      </c>
      <c r="D157">
        <v>1</v>
      </c>
      <c r="E157">
        <v>0</v>
      </c>
      <c r="F157">
        <v>27</v>
      </c>
      <c r="G157">
        <v>0.49616700000000002</v>
      </c>
      <c r="H157">
        <v>28</v>
      </c>
      <c r="I157">
        <v>0.54847599999999996</v>
      </c>
      <c r="J157">
        <v>27.073276109273699</v>
      </c>
      <c r="K157">
        <v>66</v>
      </c>
      <c r="L157">
        <v>0.44444400000000001</v>
      </c>
      <c r="M157">
        <v>67</v>
      </c>
      <c r="N157">
        <v>0.50988599999999995</v>
      </c>
      <c r="O157">
        <v>66.848934934751298</v>
      </c>
      <c r="P157">
        <v>39</v>
      </c>
      <c r="Q157">
        <v>39.775658825477599</v>
      </c>
      <c r="R157" s="2"/>
    </row>
    <row r="158" spans="1:21">
      <c r="A158" t="s">
        <v>19</v>
      </c>
      <c r="C158">
        <v>1</v>
      </c>
      <c r="D158">
        <v>1</v>
      </c>
      <c r="E158">
        <v>0</v>
      </c>
      <c r="F158">
        <v>27</v>
      </c>
      <c r="G158">
        <v>0.49874400000000002</v>
      </c>
      <c r="H158">
        <v>28</v>
      </c>
      <c r="I158">
        <v>0.56164499999999995</v>
      </c>
      <c r="J158">
        <v>27.019967886043101</v>
      </c>
      <c r="K158">
        <v>66</v>
      </c>
      <c r="L158">
        <v>0.47563699999999998</v>
      </c>
      <c r="M158">
        <v>67</v>
      </c>
      <c r="N158">
        <v>0.549126</v>
      </c>
      <c r="O158">
        <v>66.331519002843905</v>
      </c>
      <c r="P158">
        <v>39</v>
      </c>
      <c r="Q158">
        <v>39.3115511168008</v>
      </c>
      <c r="R158" s="2"/>
    </row>
    <row r="159" spans="1:21">
      <c r="A159" t="s">
        <v>19</v>
      </c>
      <c r="C159">
        <v>1</v>
      </c>
      <c r="D159">
        <v>1</v>
      </c>
      <c r="E159">
        <v>0</v>
      </c>
      <c r="F159">
        <v>26</v>
      </c>
      <c r="G159">
        <v>0.46280700000000002</v>
      </c>
      <c r="H159">
        <v>27</v>
      </c>
      <c r="I159">
        <v>0.52772200000000002</v>
      </c>
      <c r="J159">
        <v>26.572949241315499</v>
      </c>
      <c r="K159">
        <v>65</v>
      </c>
      <c r="L159">
        <v>0.49354399999999998</v>
      </c>
      <c r="M159">
        <v>66</v>
      </c>
      <c r="N159">
        <v>0.55850599999999995</v>
      </c>
      <c r="O159">
        <v>65.099381176687899</v>
      </c>
      <c r="P159">
        <v>39</v>
      </c>
      <c r="Q159">
        <v>38.526431935372301</v>
      </c>
      <c r="R159" s="2"/>
    </row>
    <row r="160" spans="1:21">
      <c r="A160" t="s">
        <v>19</v>
      </c>
      <c r="C160">
        <v>1</v>
      </c>
      <c r="D160">
        <v>1</v>
      </c>
      <c r="E160">
        <v>0</v>
      </c>
      <c r="F160">
        <v>25</v>
      </c>
      <c r="G160">
        <v>0.45006699999999999</v>
      </c>
      <c r="H160">
        <v>26</v>
      </c>
      <c r="I160">
        <v>0.51225699999999996</v>
      </c>
      <c r="J160">
        <v>25.802910435761301</v>
      </c>
      <c r="K160">
        <v>65</v>
      </c>
      <c r="L160">
        <v>0.49258099999999999</v>
      </c>
      <c r="M160">
        <v>66</v>
      </c>
      <c r="N160">
        <v>0.55793700000000002</v>
      </c>
      <c r="O160">
        <v>65.1135167390905</v>
      </c>
      <c r="P160">
        <v>40</v>
      </c>
      <c r="Q160">
        <v>39.310606303329102</v>
      </c>
      <c r="R160" s="2"/>
    </row>
    <row r="161" spans="1:17">
      <c r="A161" t="s">
        <v>19</v>
      </c>
      <c r="C161">
        <v>1</v>
      </c>
      <c r="D161">
        <v>1</v>
      </c>
      <c r="E161">
        <v>0</v>
      </c>
      <c r="F161">
        <v>27</v>
      </c>
      <c r="G161">
        <v>0.46562100000000001</v>
      </c>
      <c r="H161">
        <v>28</v>
      </c>
      <c r="I161">
        <v>0.52035900000000002</v>
      </c>
      <c r="J161">
        <v>27.628064598633401</v>
      </c>
      <c r="K161">
        <v>66</v>
      </c>
      <c r="L161">
        <v>0.49777900000000003</v>
      </c>
      <c r="M161">
        <v>67</v>
      </c>
      <c r="N161">
        <v>0.569635</v>
      </c>
      <c r="O161">
        <v>66.030909040302802</v>
      </c>
      <c r="P161">
        <v>39</v>
      </c>
      <c r="Q161">
        <v>38.402844441669302</v>
      </c>
    </row>
    <row r="162" spans="1:17">
      <c r="A162" t="s">
        <v>19</v>
      </c>
      <c r="C162">
        <v>1</v>
      </c>
      <c r="D162">
        <v>1</v>
      </c>
      <c r="E162">
        <v>0</v>
      </c>
      <c r="F162">
        <v>27</v>
      </c>
      <c r="G162">
        <v>0.49983300000000003</v>
      </c>
      <c r="H162">
        <v>28</v>
      </c>
      <c r="I162">
        <v>0.57140500000000005</v>
      </c>
      <c r="J162">
        <v>27.002333314704</v>
      </c>
      <c r="K162">
        <v>66</v>
      </c>
      <c r="L162">
        <v>0.48325200000000001</v>
      </c>
      <c r="M162">
        <v>67</v>
      </c>
      <c r="N162">
        <v>0.54145900000000002</v>
      </c>
      <c r="O162">
        <v>66.287731716116596</v>
      </c>
      <c r="P162">
        <v>39</v>
      </c>
      <c r="Q162">
        <v>39.2853984014125</v>
      </c>
    </row>
    <row r="163" spans="1:17">
      <c r="A163" t="s">
        <v>19</v>
      </c>
      <c r="C163">
        <v>1</v>
      </c>
      <c r="D163">
        <v>1</v>
      </c>
      <c r="E163">
        <v>0</v>
      </c>
      <c r="F163">
        <v>25</v>
      </c>
      <c r="G163">
        <v>0.46162799999999998</v>
      </c>
      <c r="H163">
        <v>26</v>
      </c>
      <c r="I163">
        <v>0.519737</v>
      </c>
      <c r="J163">
        <v>25.660345213306002</v>
      </c>
      <c r="K163">
        <v>64</v>
      </c>
      <c r="L163">
        <v>0.47869299999999998</v>
      </c>
      <c r="M163">
        <v>65</v>
      </c>
      <c r="N163">
        <v>0.53690400000000005</v>
      </c>
      <c r="O163">
        <v>64.366030475339699</v>
      </c>
      <c r="P163">
        <v>39</v>
      </c>
      <c r="Q163">
        <v>38.705685262033597</v>
      </c>
    </row>
    <row r="164" spans="1:17">
      <c r="A164" t="s">
        <v>19</v>
      </c>
      <c r="C164">
        <v>1</v>
      </c>
      <c r="D164">
        <v>1</v>
      </c>
      <c r="E164">
        <v>0</v>
      </c>
      <c r="F164">
        <v>26</v>
      </c>
      <c r="G164">
        <v>0.45532800000000001</v>
      </c>
      <c r="H164">
        <v>27</v>
      </c>
      <c r="I164">
        <v>0.51807400000000003</v>
      </c>
      <c r="J164">
        <v>26.7119497657221</v>
      </c>
      <c r="K164">
        <v>66</v>
      </c>
      <c r="L164">
        <v>0.47980400000000001</v>
      </c>
      <c r="M164">
        <v>67</v>
      </c>
      <c r="N164">
        <v>0.54058099999999998</v>
      </c>
      <c r="O164">
        <v>66.332296756996897</v>
      </c>
      <c r="P164">
        <v>40</v>
      </c>
      <c r="Q164">
        <v>39.620346991274701</v>
      </c>
    </row>
    <row r="165" spans="1:17">
      <c r="A165" t="s">
        <v>19</v>
      </c>
      <c r="C165">
        <v>1</v>
      </c>
      <c r="D165">
        <v>1</v>
      </c>
      <c r="E165">
        <v>0</v>
      </c>
      <c r="F165">
        <v>26</v>
      </c>
      <c r="G165">
        <v>0.45216299999999998</v>
      </c>
      <c r="H165">
        <v>27</v>
      </c>
      <c r="I165">
        <v>0.52562799999999998</v>
      </c>
      <c r="J165">
        <v>26.651153610562801</v>
      </c>
      <c r="K165">
        <v>65</v>
      </c>
      <c r="L165">
        <v>0.46841100000000002</v>
      </c>
      <c r="M165">
        <v>66</v>
      </c>
      <c r="N165">
        <v>0.52702899999999997</v>
      </c>
      <c r="O165">
        <v>65.538895902282505</v>
      </c>
      <c r="P165">
        <v>39</v>
      </c>
      <c r="Q165">
        <v>38.887742291719697</v>
      </c>
    </row>
    <row r="166" spans="1:17">
      <c r="A166" t="s">
        <v>19</v>
      </c>
      <c r="C166">
        <v>1</v>
      </c>
      <c r="D166">
        <v>1</v>
      </c>
      <c r="E166">
        <v>0</v>
      </c>
      <c r="F166">
        <v>26</v>
      </c>
      <c r="G166">
        <v>0.47477799999999998</v>
      </c>
      <c r="H166">
        <v>27</v>
      </c>
      <c r="I166">
        <v>0.53627599999999997</v>
      </c>
      <c r="J166">
        <v>26.410127158606699</v>
      </c>
      <c r="K166">
        <v>65</v>
      </c>
      <c r="L166">
        <v>0.449909</v>
      </c>
      <c r="M166">
        <v>66</v>
      </c>
      <c r="N166">
        <v>0.51589200000000002</v>
      </c>
      <c r="O166">
        <v>65.759150084112505</v>
      </c>
      <c r="P166">
        <v>39</v>
      </c>
      <c r="Q166">
        <v>39.3490229255057</v>
      </c>
    </row>
    <row r="167" spans="1:17">
      <c r="A167" t="s">
        <v>19</v>
      </c>
      <c r="C167">
        <v>1</v>
      </c>
      <c r="D167">
        <v>1</v>
      </c>
      <c r="E167">
        <v>0</v>
      </c>
      <c r="F167">
        <v>26</v>
      </c>
      <c r="G167">
        <v>0.433784</v>
      </c>
      <c r="H167">
        <v>27</v>
      </c>
      <c r="I167">
        <v>0.50322199999999995</v>
      </c>
      <c r="J167">
        <v>26.953598893977301</v>
      </c>
      <c r="K167">
        <v>65</v>
      </c>
      <c r="L167">
        <v>0.49769099999999999</v>
      </c>
      <c r="M167">
        <v>66</v>
      </c>
      <c r="N167">
        <v>0.56040500000000004</v>
      </c>
      <c r="O167">
        <v>65.036817935389195</v>
      </c>
      <c r="P167">
        <v>39</v>
      </c>
      <c r="Q167">
        <v>38.083219041411802</v>
      </c>
    </row>
    <row r="168" spans="1:17">
      <c r="A168" t="s">
        <v>19</v>
      </c>
      <c r="C168">
        <v>1</v>
      </c>
      <c r="D168">
        <v>1</v>
      </c>
      <c r="E168">
        <v>0</v>
      </c>
      <c r="F168">
        <v>28</v>
      </c>
      <c r="G168">
        <v>0.44421899999999997</v>
      </c>
      <c r="H168">
        <v>29</v>
      </c>
      <c r="I168">
        <v>0.50673900000000005</v>
      </c>
      <c r="J168">
        <v>28.892210492642299</v>
      </c>
      <c r="K168">
        <v>67</v>
      </c>
      <c r="L168">
        <v>0.483628</v>
      </c>
      <c r="M168">
        <v>68</v>
      </c>
      <c r="N168">
        <v>0.54435699999999998</v>
      </c>
      <c r="O168">
        <v>67.269591134383901</v>
      </c>
      <c r="P168">
        <v>39</v>
      </c>
      <c r="Q168">
        <v>38.377380641741503</v>
      </c>
    </row>
    <row r="169" spans="1:17">
      <c r="A169" t="s">
        <v>19</v>
      </c>
      <c r="C169">
        <v>1</v>
      </c>
      <c r="D169">
        <v>1</v>
      </c>
      <c r="E169">
        <v>0</v>
      </c>
      <c r="F169">
        <v>27</v>
      </c>
      <c r="G169">
        <v>0.452708</v>
      </c>
      <c r="H169">
        <v>28</v>
      </c>
      <c r="I169">
        <v>0.52304899999999999</v>
      </c>
      <c r="J169">
        <v>27.6723248176739</v>
      </c>
      <c r="K169">
        <v>67</v>
      </c>
      <c r="L169">
        <v>0.44641399999999998</v>
      </c>
      <c r="M169">
        <v>68</v>
      </c>
      <c r="N169">
        <v>0.50825799999999999</v>
      </c>
      <c r="O169">
        <v>67.866470474096104</v>
      </c>
      <c r="P169">
        <v>40</v>
      </c>
      <c r="Q169">
        <v>40.194145656422201</v>
      </c>
    </row>
    <row r="170" spans="1:17">
      <c r="A170" t="s">
        <v>19</v>
      </c>
      <c r="C170">
        <v>1</v>
      </c>
      <c r="D170">
        <v>1</v>
      </c>
      <c r="E170">
        <v>0</v>
      </c>
      <c r="F170">
        <v>29</v>
      </c>
      <c r="G170">
        <v>0.48558000000000001</v>
      </c>
      <c r="H170">
        <v>30</v>
      </c>
      <c r="I170">
        <v>0.54425500000000004</v>
      </c>
      <c r="J170">
        <v>29.245760545376999</v>
      </c>
      <c r="K170">
        <v>68</v>
      </c>
      <c r="L170">
        <v>0.48754799999999998</v>
      </c>
      <c r="M170">
        <v>69</v>
      </c>
      <c r="N170">
        <v>0.55550699999999997</v>
      </c>
      <c r="O170">
        <v>68.183228122838699</v>
      </c>
      <c r="P170">
        <v>39</v>
      </c>
      <c r="Q170">
        <v>38.937467577461597</v>
      </c>
    </row>
    <row r="171" spans="1:17">
      <c r="A171" t="s">
        <v>19</v>
      </c>
      <c r="C171">
        <v>1</v>
      </c>
      <c r="D171">
        <v>1</v>
      </c>
      <c r="E171">
        <v>0</v>
      </c>
      <c r="F171">
        <v>28</v>
      </c>
      <c r="G171">
        <v>0.43965399999999999</v>
      </c>
      <c r="H171">
        <v>29</v>
      </c>
      <c r="I171">
        <v>0.50399400000000005</v>
      </c>
      <c r="J171">
        <v>28.937923531240202</v>
      </c>
      <c r="K171">
        <v>67</v>
      </c>
      <c r="L171">
        <v>0.46115099999999998</v>
      </c>
      <c r="M171">
        <v>68</v>
      </c>
      <c r="N171">
        <v>0.518957</v>
      </c>
      <c r="O171">
        <v>67.672058263848001</v>
      </c>
      <c r="P171">
        <v>39</v>
      </c>
      <c r="Q171">
        <v>38.7341347326077</v>
      </c>
    </row>
    <row r="172" spans="1:17">
      <c r="A172" t="s">
        <v>19</v>
      </c>
      <c r="C172">
        <v>1</v>
      </c>
      <c r="D172">
        <v>1</v>
      </c>
      <c r="E172">
        <v>0</v>
      </c>
      <c r="F172">
        <v>27</v>
      </c>
      <c r="G172">
        <v>0.47001700000000002</v>
      </c>
      <c r="H172">
        <v>28</v>
      </c>
      <c r="I172">
        <v>0.54724499999999998</v>
      </c>
      <c r="J172">
        <v>27.388240016574301</v>
      </c>
      <c r="K172">
        <v>66</v>
      </c>
      <c r="L172">
        <v>0.45791900000000002</v>
      </c>
      <c r="M172">
        <v>67</v>
      </c>
      <c r="N172">
        <v>0.52333399999999997</v>
      </c>
      <c r="O172">
        <v>66.643292822747</v>
      </c>
      <c r="P172">
        <v>39</v>
      </c>
      <c r="Q172">
        <v>39.255052806172699</v>
      </c>
    </row>
    <row r="173" spans="1:17">
      <c r="A173" t="s">
        <v>19</v>
      </c>
      <c r="C173">
        <v>1</v>
      </c>
      <c r="D173">
        <v>1</v>
      </c>
      <c r="E173">
        <v>0</v>
      </c>
      <c r="F173">
        <v>26</v>
      </c>
      <c r="G173">
        <v>0.45985100000000001</v>
      </c>
      <c r="H173">
        <v>27</v>
      </c>
      <c r="I173">
        <v>0.52288699999999999</v>
      </c>
      <c r="J173">
        <v>26.636921758994799</v>
      </c>
      <c r="K173">
        <v>66</v>
      </c>
      <c r="L173">
        <v>0.487539</v>
      </c>
      <c r="M173">
        <v>67</v>
      </c>
      <c r="N173">
        <v>0.549624</v>
      </c>
      <c r="O173">
        <v>66.200708705806505</v>
      </c>
      <c r="P173">
        <v>40</v>
      </c>
      <c r="Q173">
        <v>39.563786946811703</v>
      </c>
    </row>
    <row r="174" spans="1:17">
      <c r="A174" t="s">
        <v>19</v>
      </c>
      <c r="C174">
        <v>1</v>
      </c>
      <c r="D174">
        <v>1</v>
      </c>
      <c r="E174">
        <v>0</v>
      </c>
      <c r="F174">
        <v>28</v>
      </c>
      <c r="G174">
        <v>0.46211600000000003</v>
      </c>
      <c r="H174">
        <v>29</v>
      </c>
      <c r="I174">
        <v>0.54023399999999999</v>
      </c>
      <c r="J174">
        <v>28.484958652295202</v>
      </c>
      <c r="K174">
        <v>67</v>
      </c>
      <c r="L174">
        <v>0.461231</v>
      </c>
      <c r="M174">
        <v>68</v>
      </c>
      <c r="N174">
        <v>0.518482</v>
      </c>
      <c r="O174">
        <v>67.677175944524905</v>
      </c>
      <c r="P174">
        <v>39</v>
      </c>
      <c r="Q174">
        <v>39.192217292229699</v>
      </c>
    </row>
    <row r="175" spans="1:17">
      <c r="A175" t="s">
        <v>19</v>
      </c>
      <c r="C175">
        <v>1</v>
      </c>
      <c r="D175">
        <v>1</v>
      </c>
      <c r="E175">
        <v>0</v>
      </c>
      <c r="F175">
        <v>27</v>
      </c>
      <c r="G175">
        <v>0.461453</v>
      </c>
      <c r="H175">
        <v>28</v>
      </c>
      <c r="I175">
        <v>0.53956499999999996</v>
      </c>
      <c r="J175">
        <v>27.4934837156902</v>
      </c>
      <c r="K175">
        <v>66</v>
      </c>
      <c r="L175">
        <v>0.48877500000000002</v>
      </c>
      <c r="M175">
        <v>67</v>
      </c>
      <c r="N175">
        <v>0.55409799999999998</v>
      </c>
      <c r="O175">
        <v>66.1718384030127</v>
      </c>
      <c r="P175">
        <v>39</v>
      </c>
      <c r="Q175">
        <v>38.678354687322397</v>
      </c>
    </row>
    <row r="176" spans="1:17">
      <c r="A176" t="s">
        <v>19</v>
      </c>
      <c r="C176">
        <v>1</v>
      </c>
      <c r="D176">
        <v>1</v>
      </c>
      <c r="E176">
        <v>0</v>
      </c>
      <c r="F176">
        <v>28</v>
      </c>
      <c r="G176">
        <v>0.49925999999999998</v>
      </c>
      <c r="H176">
        <v>29</v>
      </c>
      <c r="I176">
        <v>0.56721600000000005</v>
      </c>
      <c r="J176">
        <v>28.010889399022801</v>
      </c>
      <c r="K176">
        <v>67</v>
      </c>
      <c r="L176">
        <v>0.48692099999999999</v>
      </c>
      <c r="M176">
        <v>68</v>
      </c>
      <c r="N176">
        <v>0.53982699999999995</v>
      </c>
      <c r="O176">
        <v>67.247212036441994</v>
      </c>
      <c r="P176">
        <v>39</v>
      </c>
      <c r="Q176">
        <v>39.236322637419001</v>
      </c>
    </row>
    <row r="177" spans="1:17">
      <c r="A177" t="s">
        <v>19</v>
      </c>
      <c r="C177">
        <v>1</v>
      </c>
      <c r="D177">
        <v>1</v>
      </c>
      <c r="E177">
        <v>0</v>
      </c>
      <c r="F177">
        <v>28</v>
      </c>
      <c r="G177">
        <v>0.499251</v>
      </c>
      <c r="H177">
        <v>29</v>
      </c>
      <c r="I177">
        <v>0.58389000000000002</v>
      </c>
      <c r="J177">
        <v>28.0088493484091</v>
      </c>
      <c r="K177">
        <v>66</v>
      </c>
      <c r="L177">
        <v>0.46405800000000003</v>
      </c>
      <c r="M177">
        <v>67</v>
      </c>
      <c r="N177">
        <v>0.53080799999999995</v>
      </c>
      <c r="O177">
        <v>66.538456928838897</v>
      </c>
      <c r="P177">
        <v>38</v>
      </c>
      <c r="Q177">
        <v>38.529607580429797</v>
      </c>
    </row>
    <row r="178" spans="1:17">
      <c r="A178" t="s">
        <v>19</v>
      </c>
      <c r="C178">
        <v>1</v>
      </c>
      <c r="D178">
        <v>1</v>
      </c>
      <c r="E178">
        <v>0</v>
      </c>
      <c r="F178">
        <v>26</v>
      </c>
      <c r="G178">
        <v>0.44219900000000001</v>
      </c>
      <c r="H178">
        <v>27</v>
      </c>
      <c r="I178">
        <v>0.51868400000000003</v>
      </c>
      <c r="J178">
        <v>26.755716807217102</v>
      </c>
      <c r="K178">
        <v>66</v>
      </c>
      <c r="L178">
        <v>0.45368799999999998</v>
      </c>
      <c r="M178">
        <v>67</v>
      </c>
      <c r="N178">
        <v>0.52721600000000002</v>
      </c>
      <c r="O178">
        <v>66.629855293221596</v>
      </c>
      <c r="P178">
        <v>40</v>
      </c>
      <c r="Q178">
        <v>39.874138486004497</v>
      </c>
    </row>
    <row r="179" spans="1:17">
      <c r="A179" t="s">
        <v>19</v>
      </c>
      <c r="C179">
        <v>1</v>
      </c>
      <c r="D179">
        <v>1</v>
      </c>
      <c r="E179">
        <v>0</v>
      </c>
      <c r="F179">
        <v>28</v>
      </c>
      <c r="G179">
        <v>0.49256499999999998</v>
      </c>
      <c r="H179">
        <v>29</v>
      </c>
      <c r="I179">
        <v>0.55423599999999995</v>
      </c>
      <c r="J179">
        <v>28.120559095847302</v>
      </c>
      <c r="K179">
        <v>66</v>
      </c>
      <c r="L179">
        <v>0.44788299999999998</v>
      </c>
      <c r="M179">
        <v>67</v>
      </c>
      <c r="N179">
        <v>0.52422599999999997</v>
      </c>
      <c r="O179">
        <v>66.682669006981598</v>
      </c>
      <c r="P179">
        <v>38</v>
      </c>
      <c r="Q179">
        <v>38.5621099111343</v>
      </c>
    </row>
    <row r="180" spans="1:17">
      <c r="A180" t="s">
        <v>19</v>
      </c>
      <c r="C180">
        <v>1</v>
      </c>
      <c r="D180">
        <v>1</v>
      </c>
      <c r="E180">
        <v>0</v>
      </c>
      <c r="F180">
        <v>28</v>
      </c>
      <c r="G180">
        <v>0.47812900000000003</v>
      </c>
      <c r="H180">
        <v>29</v>
      </c>
      <c r="I180">
        <v>0.55181100000000005</v>
      </c>
      <c r="J180">
        <v>28.296829619174201</v>
      </c>
      <c r="K180">
        <v>68</v>
      </c>
      <c r="L180">
        <v>0.49119400000000002</v>
      </c>
      <c r="M180">
        <v>69</v>
      </c>
      <c r="N180">
        <v>0.551095</v>
      </c>
      <c r="O180">
        <v>68.147009231899304</v>
      </c>
      <c r="P180">
        <v>40</v>
      </c>
      <c r="Q180">
        <v>39.850179612725</v>
      </c>
    </row>
    <row r="181" spans="1:17">
      <c r="A181" t="s">
        <v>19</v>
      </c>
      <c r="C181">
        <v>1</v>
      </c>
      <c r="D181">
        <v>1</v>
      </c>
      <c r="E181">
        <v>0</v>
      </c>
      <c r="F181">
        <v>28</v>
      </c>
      <c r="G181">
        <v>0.470667</v>
      </c>
      <c r="H181">
        <v>29</v>
      </c>
      <c r="I181">
        <v>0.53936399999999995</v>
      </c>
      <c r="J181">
        <v>28.426990989417298</v>
      </c>
      <c r="K181">
        <v>68</v>
      </c>
      <c r="L181">
        <v>0.48710300000000001</v>
      </c>
      <c r="M181">
        <v>69</v>
      </c>
      <c r="N181">
        <v>0.56267100000000003</v>
      </c>
      <c r="O181">
        <v>68.170667478297602</v>
      </c>
      <c r="P181">
        <v>40</v>
      </c>
      <c r="Q181">
        <v>39.743676488880297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2025-09-05T10:26:25Z</dcterms:created>
  <dcterms:modified xsi:type="dcterms:W3CDTF">2026-05-06T08:19:24Z</dcterms:modified>
</cp:coreProperties>
</file>