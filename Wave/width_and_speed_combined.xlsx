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zhechen/Documents/Champerlab/DSXmegaTOXIN/Modeling/Github/Wave/"/>
    </mc:Choice>
  </mc:AlternateContent>
  <xr:revisionPtr revIDLastSave="0" documentId="13_ncr:1_{DA7BE4F1-FAFE-854C-9529-462779847104}" xr6:coauthVersionLast="47" xr6:coauthVersionMax="47" xr10:uidLastSave="{00000000-0000-0000-0000-000000000000}"/>
  <bookViews>
    <workbookView xWindow="600" yWindow="740" windowWidth="19540" windowHeight="16880" xr2:uid="{2059E8D1-C0B2-3248-A10B-3C567D23FF9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3" i="1"/>
  <c r="B13" i="1"/>
  <c r="B14" i="1"/>
  <c r="B15" i="1"/>
  <c r="B16" i="1"/>
  <c r="B17" i="1"/>
  <c r="B12" i="1"/>
  <c r="C13" i="1"/>
  <c r="C14" i="1"/>
  <c r="C15" i="1"/>
  <c r="C16" i="1"/>
  <c r="C17" i="1"/>
  <c r="C12" i="1"/>
  <c r="B9" i="1"/>
  <c r="B6" i="1"/>
  <c r="B7" i="1"/>
  <c r="B8" i="1"/>
  <c r="B5" i="1"/>
  <c r="B4" i="1"/>
  <c r="B3" i="1"/>
</calcChain>
</file>

<file path=xl/sharedStrings.xml><?xml version="1.0" encoding="utf-8"?>
<sst xmlns="http://schemas.openxmlformats.org/spreadsheetml/2006/main" count="42" uniqueCount="37">
  <si>
    <t>homing_dom</t>
    <phoneticPr fontId="1" type="noConversion"/>
  </si>
  <si>
    <t>homing_recessive</t>
    <phoneticPr fontId="1" type="noConversion"/>
  </si>
  <si>
    <t>homing_dom_DDsterile</t>
    <phoneticPr fontId="1" type="noConversion"/>
  </si>
  <si>
    <t>num of waves</t>
    <phoneticPr fontId="1" type="noConversion"/>
  </si>
  <si>
    <t>TADE suppression</t>
    <phoneticPr fontId="1" type="noConversion"/>
  </si>
  <si>
    <t>num of runs</t>
    <phoneticPr fontId="1" type="noConversion"/>
  </si>
  <si>
    <t>germline resistance 10%</t>
    <phoneticPr fontId="1" type="noConversion"/>
  </si>
  <si>
    <t>female fitness 90%</t>
    <phoneticPr fontId="1" type="noConversion"/>
  </si>
  <si>
    <t>Homing:</t>
    <phoneticPr fontId="1" type="noConversion"/>
  </si>
  <si>
    <t>wt freq&lt;0.8</t>
    <phoneticPr fontId="1" type="noConversion"/>
  </si>
  <si>
    <t>drive freq&gt;0.5</t>
    <phoneticPr fontId="1" type="noConversion"/>
  </si>
  <si>
    <t xml:space="preserve">advancing equilibrium state </t>
  </si>
  <si>
    <t>germline resistance 100%</t>
    <phoneticPr fontId="1" type="noConversion"/>
  </si>
  <si>
    <t>TA :</t>
    <phoneticPr fontId="1" type="noConversion"/>
  </si>
  <si>
    <t>female fitness 100%</t>
    <phoneticPr fontId="1" type="noConversion"/>
  </si>
  <si>
    <t>conversion 90%</t>
    <phoneticPr fontId="1" type="noConversion"/>
  </si>
  <si>
    <t>embryo resistance 10%</t>
    <phoneticPr fontId="1" type="noConversion"/>
  </si>
  <si>
    <t>average_gens</t>
    <phoneticPr fontId="1" type="noConversion"/>
  </si>
  <si>
    <t>average_width (fraction)</t>
    <phoneticPr fontId="1" type="noConversion"/>
  </si>
  <si>
    <t>Settings</t>
    <phoneticPr fontId="1" type="noConversion"/>
  </si>
  <si>
    <t xml:space="preserve">average_width </t>
    <phoneticPr fontId="1" type="noConversion"/>
  </si>
  <si>
    <t>average_speed</t>
    <phoneticPr fontId="1" type="noConversion"/>
  </si>
  <si>
    <t>TADE suppression (DR05)</t>
    <phoneticPr fontId="1" type="noConversion"/>
  </si>
  <si>
    <t>homing_recessive (DR05)</t>
    <phoneticPr fontId="1" type="noConversion"/>
  </si>
  <si>
    <t>homing_dom_DDsterile (DR05)</t>
    <phoneticPr fontId="1" type="noConversion"/>
  </si>
  <si>
    <t>homing_dom (DR05)</t>
    <phoneticPr fontId="1" type="noConversion"/>
  </si>
  <si>
    <t>TADFI suppression</t>
    <phoneticPr fontId="1" type="noConversion"/>
  </si>
  <si>
    <r>
      <t>TADFI suppression</t>
    </r>
    <r>
      <rPr>
        <sz val="12"/>
        <color rgb="FFFF0000"/>
        <rFont val="等线"/>
        <family val="4"/>
        <charset val="134"/>
      </rPr>
      <t xml:space="preserve"> (double arena)</t>
    </r>
    <phoneticPr fontId="1" type="noConversion"/>
  </si>
  <si>
    <t>TADFI modification</t>
    <phoneticPr fontId="1" type="noConversion"/>
  </si>
  <si>
    <t>TADFI suppression (WT08)</t>
    <phoneticPr fontId="1" type="noConversion"/>
  </si>
  <si>
    <t>TADFI modification (DR05)</t>
    <phoneticPr fontId="1" type="noConversion"/>
  </si>
  <si>
    <t xml:space="preserve">SEM of average_width </t>
    <phoneticPr fontId="1" type="noConversion"/>
  </si>
  <si>
    <t>SEM of average_speed</t>
    <phoneticPr fontId="1" type="noConversion"/>
  </si>
  <si>
    <t>SD of average_gens</t>
    <phoneticPr fontId="1" type="noConversion"/>
  </si>
  <si>
    <t>SD of average_width (fraction)</t>
    <phoneticPr fontId="1" type="noConversion"/>
  </si>
  <si>
    <t>SEM of average_width (fraction)</t>
    <phoneticPr fontId="1" type="noConversion"/>
  </si>
  <si>
    <t>SEM of average_gens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</si>
</sst>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"/>
  </numFmts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FF0000"/>
      <name val="等线"/>
      <family val="4"/>
      <charset val="134"/>
    </font>
    <font>
      <sz val="12"/>
      <color theme="1"/>
      <name val="等线"/>
      <family val="4"/>
      <charset val="134"/>
      <scheme val="minor"/>
    </font>
    <font>
      <b/>
      <sz val="12"/>
      <color theme="1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left" vertical="center"/>
    </xf>
    <xf numFmtId="177" fontId="0" fillId="0" borderId="0" xfId="0" applyNumberForma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7" fontId="3" fillId="0" borderId="0" xfId="0" applyNumberFormat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9C7CA-2364-FF4F-827E-95DD34BDEA6C}">
  <dimension ref="A2:K18"/>
  <sheetViews>
    <sheetView tabSelected="1" zoomScale="91" workbookViewId="0">
      <selection activeCell="G19" sqref="G19"/>
    </sheetView>
  </sheetViews>
  <sheetFormatPr baseColWidth="10" defaultRowHeight="16"/>
  <cols>
    <col min="1" max="1" width="34" customWidth="1"/>
    <col min="2" max="2" width="16.83203125" style="4" customWidth="1"/>
    <col min="3" max="3" width="23.33203125" style="4" customWidth="1"/>
    <col min="4" max="4" width="28" style="4" customWidth="1"/>
    <col min="5" max="5" width="15" style="4" customWidth="1"/>
    <col min="6" max="6" width="14.5" style="4" customWidth="1"/>
    <col min="7" max="8" width="16" style="4" customWidth="1"/>
    <col min="9" max="9" width="15.1640625" customWidth="1"/>
  </cols>
  <sheetData>
    <row r="2" spans="1:11">
      <c r="B2" s="2" t="s">
        <v>20</v>
      </c>
      <c r="C2" s="7" t="s">
        <v>31</v>
      </c>
      <c r="D2" s="2" t="s">
        <v>18</v>
      </c>
      <c r="E2" s="2" t="s">
        <v>34</v>
      </c>
      <c r="F2" s="2" t="s">
        <v>5</v>
      </c>
      <c r="G2" s="2" t="s">
        <v>3</v>
      </c>
      <c r="H2" s="2" t="s">
        <v>35</v>
      </c>
      <c r="J2" s="2" t="s">
        <v>19</v>
      </c>
    </row>
    <row r="3" spans="1:11">
      <c r="A3" t="s">
        <v>0</v>
      </c>
      <c r="B3" s="6">
        <f>31.33*D3</f>
        <v>9.3238079999999979</v>
      </c>
      <c r="C3" s="6">
        <f>H3*31.33</f>
        <v>7.0229954600000005E-2</v>
      </c>
      <c r="D3" s="8">
        <v>0.29759999999999998</v>
      </c>
      <c r="E3" s="8">
        <v>3.4700000000000002E-2</v>
      </c>
      <c r="F3" s="3">
        <v>20</v>
      </c>
      <c r="G3" s="3">
        <v>239</v>
      </c>
      <c r="H3" s="8">
        <v>2.2416200000000002E-3</v>
      </c>
      <c r="J3" t="s">
        <v>8</v>
      </c>
      <c r="K3" t="s">
        <v>6</v>
      </c>
    </row>
    <row r="4" spans="1:11">
      <c r="A4" t="s">
        <v>2</v>
      </c>
      <c r="B4" s="6">
        <f t="shared" ref="B4:B5" si="0">31.33*D4</f>
        <v>17.112445999999998</v>
      </c>
      <c r="C4" s="6">
        <f t="shared" ref="C4:C9" si="1">H4*31.33</f>
        <v>0.34729869959511189</v>
      </c>
      <c r="D4" s="8">
        <v>0.54620000000000002</v>
      </c>
      <c r="E4" s="8">
        <v>0.15079999999999999</v>
      </c>
      <c r="F4" s="3">
        <v>20</v>
      </c>
      <c r="G4" s="3">
        <v>185</v>
      </c>
      <c r="H4" s="8">
        <v>1.108518032541053E-2</v>
      </c>
      <c r="K4" t="s">
        <v>15</v>
      </c>
    </row>
    <row r="5" spans="1:11">
      <c r="A5" t="s">
        <v>1</v>
      </c>
      <c r="B5" s="6">
        <f t="shared" si="0"/>
        <v>12.080848</v>
      </c>
      <c r="C5" s="6">
        <f t="shared" si="1"/>
        <v>0.28739064440222489</v>
      </c>
      <c r="D5" s="8">
        <v>0.3856</v>
      </c>
      <c r="E5" s="8">
        <v>0.13700000000000001</v>
      </c>
      <c r="F5" s="3">
        <v>20</v>
      </c>
      <c r="G5" s="3">
        <v>223</v>
      </c>
      <c r="H5" s="8">
        <v>9.1730176955705373E-3</v>
      </c>
      <c r="K5" t="s">
        <v>7</v>
      </c>
    </row>
    <row r="6" spans="1:11">
      <c r="A6" t="s">
        <v>26</v>
      </c>
      <c r="B6" s="6">
        <f>31.33*D6</f>
        <v>23.394110999999999</v>
      </c>
      <c r="C6" s="6">
        <f t="shared" si="1"/>
        <v>0.14095367</v>
      </c>
      <c r="D6" s="8">
        <v>0.74670000000000003</v>
      </c>
      <c r="E6" s="8">
        <v>7.1690000000000004E-2</v>
      </c>
      <c r="F6" s="3">
        <v>28</v>
      </c>
      <c r="G6" s="3">
        <v>254</v>
      </c>
      <c r="H6" s="8">
        <v>4.4990000000000004E-3</v>
      </c>
      <c r="K6" t="s">
        <v>16</v>
      </c>
    </row>
    <row r="7" spans="1:11">
      <c r="A7" t="s">
        <v>27</v>
      </c>
      <c r="B7" s="6">
        <f>31.33*D7*2</f>
        <v>25.082797999999997</v>
      </c>
      <c r="C7" s="6">
        <f t="shared" si="1"/>
        <v>6.3537239999999995E-2</v>
      </c>
      <c r="D7" s="8">
        <v>0.40029999999999999</v>
      </c>
      <c r="E7" s="8">
        <v>8.1392000000000006E-2</v>
      </c>
      <c r="F7" s="3">
        <v>20</v>
      </c>
      <c r="G7" s="3">
        <v>1611</v>
      </c>
      <c r="H7" s="8">
        <v>2.0279999999999999E-3</v>
      </c>
    </row>
    <row r="8" spans="1:11">
      <c r="A8" t="s">
        <v>4</v>
      </c>
      <c r="B8" s="6">
        <f t="shared" ref="B8:B9" si="2">31.33*D8</f>
        <v>11.87407</v>
      </c>
      <c r="C8" s="6">
        <f t="shared" si="1"/>
        <v>5.0346056799999997E-2</v>
      </c>
      <c r="D8" s="8">
        <v>0.379</v>
      </c>
      <c r="E8" s="8">
        <v>4.896665E-2</v>
      </c>
      <c r="F8" s="3">
        <v>20</v>
      </c>
      <c r="G8" s="3">
        <v>927</v>
      </c>
      <c r="H8" s="8">
        <v>1.6069599999999999E-3</v>
      </c>
      <c r="J8" t="s">
        <v>13</v>
      </c>
      <c r="K8" t="s">
        <v>12</v>
      </c>
    </row>
    <row r="9" spans="1:11">
      <c r="A9" t="s">
        <v>28</v>
      </c>
      <c r="B9" s="6">
        <f t="shared" si="2"/>
        <v>6.3197257689967898</v>
      </c>
      <c r="C9" s="6">
        <f t="shared" si="1"/>
        <v>4.6001156583542783E-3</v>
      </c>
      <c r="D9" s="8">
        <v>0.20171483463124132</v>
      </c>
      <c r="E9" s="8">
        <v>6.8601754664496398E-3</v>
      </c>
      <c r="F9" s="3">
        <v>56</v>
      </c>
      <c r="G9" s="3">
        <v>2183</v>
      </c>
      <c r="H9" s="8">
        <v>1.4682782184341776E-4</v>
      </c>
      <c r="K9" t="s">
        <v>14</v>
      </c>
    </row>
    <row r="10" spans="1:11">
      <c r="B10" s="6"/>
      <c r="C10" s="6"/>
      <c r="D10" s="7"/>
      <c r="E10" s="6"/>
      <c r="G10" s="2"/>
      <c r="H10" s="2"/>
    </row>
    <row r="11" spans="1:11">
      <c r="B11" s="7" t="s">
        <v>21</v>
      </c>
      <c r="C11" s="7" t="s">
        <v>32</v>
      </c>
      <c r="D11" s="7" t="s">
        <v>17</v>
      </c>
      <c r="E11" s="7" t="s">
        <v>33</v>
      </c>
      <c r="F11" s="2" t="s">
        <v>5</v>
      </c>
      <c r="G11" s="2" t="s">
        <v>36</v>
      </c>
      <c r="J11" t="s">
        <v>11</v>
      </c>
    </row>
    <row r="12" spans="1:11">
      <c r="A12" t="s">
        <v>25</v>
      </c>
      <c r="B12" s="6">
        <f>31.33/(2*D12)</f>
        <v>1.2775756868462895</v>
      </c>
      <c r="C12" s="6">
        <f>31.33*G12/(2*D12*D12)</f>
        <v>7.8492521999856558E-3</v>
      </c>
      <c r="D12" s="6">
        <v>12.261504473890884</v>
      </c>
      <c r="E12" s="8">
        <v>0.33689952903712395</v>
      </c>
      <c r="F12" s="3">
        <v>20</v>
      </c>
      <c r="G12" s="8">
        <v>7.533302485146734E-2</v>
      </c>
      <c r="I12" s="1"/>
      <c r="J12" t="s">
        <v>10</v>
      </c>
    </row>
    <row r="13" spans="1:11">
      <c r="A13" t="s">
        <v>24</v>
      </c>
      <c r="B13" s="6">
        <f t="shared" ref="B13:B18" si="3">31.33/(2*D13)</f>
        <v>1.280497705071665</v>
      </c>
      <c r="C13" s="6">
        <f t="shared" ref="C13:C17" si="4">31.33*G13/(2*D13*D13)</f>
        <v>1.6054693755026297E-2</v>
      </c>
      <c r="D13" s="6">
        <v>12.233524463148711</v>
      </c>
      <c r="E13" s="8">
        <v>0.68594581993000392</v>
      </c>
      <c r="F13" s="3">
        <v>20</v>
      </c>
      <c r="G13" s="8">
        <v>0.15338214822453186</v>
      </c>
      <c r="I13" s="1"/>
      <c r="J13" t="s">
        <v>10</v>
      </c>
    </row>
    <row r="14" spans="1:11">
      <c r="A14" t="s">
        <v>23</v>
      </c>
      <c r="B14" s="6">
        <f t="shared" si="3"/>
        <v>1.2677879008551483</v>
      </c>
      <c r="C14" s="6">
        <f t="shared" si="4"/>
        <v>7.1869556230940053E-3</v>
      </c>
      <c r="D14" s="6">
        <v>12.356167770203236</v>
      </c>
      <c r="E14" s="8">
        <v>0.31325438191414556</v>
      </c>
      <c r="F14" s="3">
        <v>20</v>
      </c>
      <c r="G14" s="8">
        <v>7.004580922097102E-2</v>
      </c>
      <c r="J14" t="s">
        <v>10</v>
      </c>
    </row>
    <row r="15" spans="1:11">
      <c r="A15" t="s">
        <v>29</v>
      </c>
      <c r="B15" s="6">
        <f t="shared" si="3"/>
        <v>0.15646144984515209</v>
      </c>
      <c r="C15" s="6">
        <f t="shared" si="4"/>
        <v>2.2049317524780931E-3</v>
      </c>
      <c r="D15" s="6">
        <v>100.12050901677985</v>
      </c>
      <c r="E15" s="8">
        <v>10.929152235779613</v>
      </c>
      <c r="F15" s="3">
        <v>60</v>
      </c>
      <c r="G15" s="8">
        <v>1.4109474865779998</v>
      </c>
      <c r="J15" t="s">
        <v>9</v>
      </c>
    </row>
    <row r="16" spans="1:11">
      <c r="A16" t="s">
        <v>22</v>
      </c>
      <c r="B16" s="6">
        <f t="shared" si="3"/>
        <v>0.27228244377012101</v>
      </c>
      <c r="C16" s="6">
        <f t="shared" si="4"/>
        <v>8.8553916912301883E-3</v>
      </c>
      <c r="D16" s="6">
        <v>57.53217057661432</v>
      </c>
      <c r="E16" s="8">
        <v>8.3678501263104916</v>
      </c>
      <c r="F16" s="3">
        <v>20</v>
      </c>
      <c r="G16" s="8">
        <v>1.871108170796046</v>
      </c>
      <c r="J16" t="s">
        <v>10</v>
      </c>
    </row>
    <row r="17" spans="1:10">
      <c r="A17" t="s">
        <v>30</v>
      </c>
      <c r="B17" s="6">
        <f t="shared" si="3"/>
        <v>0.40049939327904593</v>
      </c>
      <c r="C17" s="6">
        <f t="shared" si="4"/>
        <v>1.0991020935273948E-3</v>
      </c>
      <c r="D17" s="6">
        <v>39.113667243649203</v>
      </c>
      <c r="E17" s="6">
        <v>0.54733268457620221</v>
      </c>
      <c r="F17" s="4">
        <v>26</v>
      </c>
      <c r="G17" s="6">
        <v>0.10734077073389153</v>
      </c>
      <c r="J17" t="s">
        <v>9</v>
      </c>
    </row>
    <row r="18" spans="1:10">
      <c r="B18" s="5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Weizhe</dc:creator>
  <cp:lastModifiedBy>Weizhe</cp:lastModifiedBy>
  <dcterms:created xsi:type="dcterms:W3CDTF">2025-09-07T01:19:08Z</dcterms:created>
  <dcterms:modified xsi:type="dcterms:W3CDTF">2026-10-19T08:22:13Z</dcterms:modified>
</cp:coreProperties>
</file>